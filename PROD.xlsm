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73192A17-D512-46A1-A381-1D5668992874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Feuil1" sheetId="3" r:id="rId2"/>
    <sheet name="dataShifts" sheetId="2" r:id="rId3"/>
  </sheets>
  <functionGroups builtInGroupCount="19"/>
  <definedNames>
    <definedName name="_xleta.NOT" hidden="1" xlm="1">#NAME?</definedName>
    <definedName name="activeRollArea">PROD!$AJ$68:$BD$117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M$100:$AM$101,PROD!$AO$100:$AO$101,PROD!$AQ$100:$AQ$101,PROD!$AM$105:$AM$106,PROD!$AO$105:$AO$106,PROD!$AQ$105:$AQ$106,PROD!$AM$110:$AM$111,PROD!$AO$110:$AO$111,PROD!$AQ$110:$AQ$111,PROD!$AM$115:$AM$116,PROD!$AO$115:$AO$116,PROD!$AQ$115:$AQ$116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,PROD!$AW$100:$AW$101,PROD!$AY$100:$AY$101,PROD!$BA$100:$BA$101,PROD!$AW$105:$AW$106,PROD!$AY$105:$AY$106,PROD!$BA$105:$BA$106,PROD!$AW$110:$AW$111,PROD!$AY$110:$AY$111,PROD!$BA$110:$BA$111,PROD!$AW$115:$AW$116,PROD!$AY$115:$AY$116,PROD!$BA$115:$BA$116</definedName>
    <definedName name="centerDefaultsCol">PROD!$AT$68:$AT$167</definedName>
    <definedName name="ctrlMinThickness">PROD!$BK$59</definedName>
    <definedName name="ctrlWarnThickness">PROD!$BJ$59</definedName>
    <definedName name="inactiveRollArea">PROD!$AJ$118:$BD$167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,PROD!$AM$101,PROD!$AO$101,PROD!$AQ$101,PROD!$AM$106,PROD!$AO$106,PROD!$AQ$106,PROD!$AM$111,PROD!$AO$111,PROD!$AQ$111,PROD!$AM$116,PROD!$AO$116,PROD!$AQ$116</definedName>
    <definedName name="leftThicknessCels">PROD!$AM$70,PROD!$AO$70,PROD!$AQ$70,PROD!$AM$75,PROD!$AO$75,PROD!$AQ$75,PROD!$AM$80,PROD!$AO$80,PROD!$AQ$80,PROD!$AM$85,PROD!$AO$85,PROD!$AQ$85,PROD!$AM$90,PROD!$AO$90,PROD!$AQ$90,PROD!$AM$95,PROD!$AO$95,PROD!$AQ$95,PROD!$AM$100,PROD!$AO$100,PROD!$AQ$100,PROD!$AM$105,PROD!$AO$105,PROD!$AQ$105,PROD!$AM$110,PROD!$AO$110,PROD!$AQ$110,PROD!$AM$115,PROD!$AO$115,PROD!$AQ$115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,PROD!$AW$101,PROD!$AY$101,PROD!$BA$101,PROD!$AW$106,PROD!$AY$106,PROD!$BA$106,PROD!$AW$111,PROD!$AY$111,PROD!$BA$111,PROD!$AW$116,PROD!$AY$116,PROD!$BA$116</definedName>
    <definedName name="rightThicknessCels">PROD!$AW$70,PROD!$AY$70,PROD!$BA$70,PROD!$AW$75,PROD!$AY$75,PROD!$BA$75,PROD!$AW$80,PROD!$AY$80,PROD!$BA$80,PROD!$AW$85,PROD!$AY$85,PROD!$BA$85,PROD!$AW$90,PROD!$AY$90,PROD!$BA$90,PROD!$AW$95,PROD!$AY$95,PROD!$BA$95,PROD!$AW$100,PROD!$AY$100,PROD!$BA$100,PROD!$AW$105,PROD!$AY$105,PROD!$BA$105,PROD!$AW$110,PROD!$AY$110,PROD!$BA$110,PROD!$AW$115,PROD!$AY$115,PROD!$BA$115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PROD!$AF$58</definedName>
    <definedName name="shiftID">PROD!$AC$57</definedName>
    <definedName name="shiftLgEnrouleeFinPoste">PROD!$AF$65</definedName>
    <definedName name="shiftLgEnrouleePrisePoste">PROD!$AF$61</definedName>
    <definedName name="shiftMachineFinPoste">PROD!$AC$65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78" i="1" l="1"/>
  <c r="BG79" i="1" s="1"/>
  <c r="AF63" i="1"/>
  <c r="AG64" i="1" s="1"/>
  <c r="AF60" i="1"/>
  <c r="AG61" i="1" s="1"/>
  <c r="AE64" i="1"/>
  <c r="BG59" i="1"/>
  <c r="AG54" i="1"/>
  <c r="AC55" i="1"/>
  <c r="BJ80" i="1"/>
  <c r="BF76" i="1"/>
  <c r="BF67" i="1"/>
  <c r="AE61" i="1"/>
  <c r="AB52" i="1" s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<sst xmlns="http://schemas.openxmlformats.org/spreadsheetml/2006/main" count="55" uniqueCount="48">
  <si>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</si>
  <si>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</si>
  <si>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</si>
  <si>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</si>
  <si>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</si>
  <si>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</si>
  <si>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</si>
  <si>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</si>
  <si>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</si>
  <si>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</si>
  <si>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</si>
  <si>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</si>
  <si>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</si>
  <si>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</si>
  <si>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</si>
  <si>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</si>
  <si>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</si>
  <si>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</si>
  <si>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</si>
  <si>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</si>
  <si>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</si>
  <si>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</si>
  <si>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</si>
  <si>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</si>
  <si>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</si>
  <si>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</si>
  <si>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</si>
  <si>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</si>
  <si>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</si>
  <si>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m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</si>
  <si>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</si>
  <si>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</si>
  <si>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</si>
  <si>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</si>
  <si>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</si>
  <si>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</si>
  <si>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</si>
  <si>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</si>
  <si>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</si>
  <si>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</si>
  <si>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</si>
  <si>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Nicolette</t>
  </si>
  <si>
    <t>A l'Arrêt</t>
  </si>
  <si>
    <t>Etat Machine Prise de Poste</t>
  </si>
  <si>
    <t>alert</t>
  </si>
  <si>
    <t>max acceptés</t>
  </si>
  <si>
    <t>MarqueTapis</t>
  </si>
  <si>
    <t>Gauche 3m MarqueTapis / Centre 8m Marque Tapis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</si>
</sst>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3" fillId="9" borderId="2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19" fillId="10" borderId="0" xfId="0" applyFont="1" applyFill="1"/>
    <xf numFmtId="0" fontId="17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6" fillId="11" borderId="0" xfId="0" applyFont="1" applyFill="1" applyAlignment="1">
      <alignment vertical="center"/>
    </xf>
    <xf numFmtId="0" fontId="18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Alignment="1" applyProtection="1">
      <alignment horizontal="center" vertical="center"/>
      <protection locked="0"/>
    </xf>
    <xf numFmtId="0" fontId="28" fillId="10" borderId="0" xfId="0" applyFont="1" applyFill="1" applyAlignment="1" applyProtection="1">
      <alignment horizontal="left" vertical="center"/>
      <protection locked="0"/>
    </xf>
    <xf numFmtId="0" fontId="28" fillId="10" borderId="0" xfId="0" applyFont="1" applyFill="1" applyAlignment="1" applyProtection="1">
      <alignment horizontal="right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29" fillId="5" borderId="0" xfId="0" applyFont="1" applyFill="1" applyAlignment="1">
      <alignment horizontal="center" vertical="top"/>
    </xf>
    <xf numFmtId="0" fontId="30" fillId="5" borderId="0" xfId="0" applyFont="1" applyFill="1" applyAlignment="1">
      <alignment horizontal="center" vertical="top"/>
    </xf>
    <xf numFmtId="0" fontId="14" fillId="5" borderId="0" xfId="0" applyFont="1" applyFill="1" applyAlignment="1">
      <alignment horizontal="right" vertical="center"/>
    </xf>
    <xf numFmtId="0" fontId="29" fillId="5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/>
    </xf>
    <xf numFmtId="0" fontId="30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" fontId="21" fillId="14" borderId="0" xfId="0" applyNumberFormat="1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>
      <alignment horizontal="center" vertical="center" wrapText="1"/>
    </xf>
    <xf numFmtId="0" fontId="0" fillId="6" borderId="0" xfId="0" applyFill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24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2" fontId="25" fillId="11" borderId="0" xfId="0" applyNumberFormat="1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left" vertical="center"/>
    </xf>
    <xf numFmtId="0" fontId="23" fillId="11" borderId="0" xfId="0" applyFont="1" applyFill="1" applyAlignment="1" applyProtection="1">
      <alignment horizontal="center" vertical="center"/>
    </xf>
    <xf numFmtId="0" fontId="21" fillId="10" borderId="0" xfId="0" applyFont="1" applyFill="1" applyAlignment="1" applyProtection="1">
      <alignment horizontal="center" vertical="center"/>
    </xf>
    <xf numFmtId="2" fontId="21" fillId="10" borderId="0" xfId="0" applyNumberFormat="1" applyFont="1" applyFill="1" applyAlignment="1" applyProtection="1">
      <alignment horizontal="center" vertical="center"/>
    </xf>
    <xf numFmtId="0" fontId="20" fillId="10" borderId="0" xfId="0" applyFont="1" applyFill="1" applyAlignment="1" applyProtection="1">
      <alignment horizontal="center" vertical="center"/>
    </xf>
    <xf numFmtId="0" fontId="27" fillId="13" borderId="0" xfId="0" applyFont="1" applyFill="1" applyAlignment="1" applyProtection="1">
      <alignment horizontal="right" vertical="center"/>
    </xf>
    <xf numFmtId="0" fontId="27" fillId="13" borderId="0" xfId="0" applyFont="1" applyFill="1" applyAlignment="1" applyProtection="1">
      <alignment horizontal="center" vertical="center"/>
    </xf>
    <xf numFmtId="0" fontId="27" fillId="13" borderId="0" xfId="0" applyFont="1" applyFill="1" applyAlignment="1" applyProtection="1">
      <alignment horizontal="left" vertical="center"/>
    </xf>
    <xf numFmtId="2" fontId="22" fillId="10" borderId="0" xfId="0" applyNumberFormat="1" applyFont="1" applyFill="1" applyAlignment="1" applyProtection="1">
      <alignment horizontal="center" vertical="center"/>
    </xf>
    <xf numFmtId="0" fontId="10" fillId="7" borderId="12" xfId="0" applyFont="1" applyFill="1" applyBorder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21" fillId="14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19634</xdr:colOff>
      <xdr:row>69</xdr:row>
      <xdr:rowOff>194581</xdr:rowOff>
    </xdr:from>
    <xdr:to>
      <xdr:col>58</xdr:col>
      <xdr:colOff>71846</xdr:colOff>
      <xdr:row>71</xdr:row>
      <xdr:rowOff>34679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440234" y="13472431"/>
          <a:ext cx="223662" cy="2306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90</xdr:row>
          <xdr:rowOff>38100</xdr:rowOff>
        </xdr:from>
        <xdr:to>
          <xdr:col>62</xdr:col>
          <xdr:colOff>638175</xdr:colOff>
          <xdr:row>92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0</xdr:colOff>
          <xdr:row>89</xdr:row>
          <xdr:rowOff>182880</xdr:rowOff>
        </xdr:from>
        <xdr:to>
          <xdr:col>59</xdr:col>
          <xdr:colOff>289517</xdr:colOff>
          <xdr:row>92</xdr:row>
          <xdr:rowOff>98274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836</xdr:colOff>
          <xdr:row>93</xdr:row>
          <xdr:rowOff>47381</xdr:rowOff>
        </xdr:from>
        <xdr:to>
          <xdr:col>59</xdr:col>
          <xdr:colOff>286529</xdr:colOff>
          <xdr:row>95</xdr:row>
          <xdr:rowOff>157474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12034</xdr:colOff>
          <xdr:row>97</xdr:row>
          <xdr:rowOff>8717</xdr:rowOff>
        </xdr:from>
        <xdr:to>
          <xdr:col>59</xdr:col>
          <xdr:colOff>301326</xdr:colOff>
          <xdr:row>99</xdr:row>
          <xdr:rowOff>116541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376517</xdr:colOff>
          <xdr:row>101</xdr:row>
          <xdr:rowOff>188819</xdr:rowOff>
        </xdr:from>
        <xdr:to>
          <xdr:col>59</xdr:col>
          <xdr:colOff>662267</xdr:colOff>
          <xdr:row>104</xdr:row>
          <xdr:rowOff>112619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C7949E3B-227C-B70D-C8F5-D046FD79A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70" zoomScale="85" zoomScaleNormal="85" workbookViewId="0">
      <selection activeCell="AJ98" sqref="AJ98"/>
    </sheetView>
  </sheetViews>
  <sheetFormatPr baseColWidth="10" defaultRowHeight="15" x14ac:dyDescent="0.25"/>
  <cols>
    <col min="1" max="19" width="0" style="59" hidden="1" customWidth="1"/>
    <col min="20" max="26" width="0" style="58" hidden="1" customWidth="1"/>
    <col min="27" max="28" width="2.7109375" style="59" customWidth="1"/>
    <col min="29" max="30" width="13.7109375" style="59" customWidth="1"/>
    <col min="31" max="31" width="2.28515625" style="59" bestFit="1" customWidth="1"/>
    <col min="32" max="33" width="11" style="59" customWidth="1"/>
    <col min="34" max="35" width="2.7109375" style="59" customWidth="1"/>
    <col min="36" max="36" width="12.5703125" style="59" bestFit="1" customWidth="1"/>
    <col min="37" max="37" width="4.5703125" style="59" bestFit="1" customWidth="1"/>
    <col min="38" max="38" width="2.7109375" style="59" customWidth="1"/>
    <col min="39" max="39" width="9" style="59" customWidth="1"/>
    <col min="40" max="40" width="2.7109375" style="59" customWidth="1"/>
    <col min="41" max="41" width="9" style="59" customWidth="1"/>
    <col min="42" max="42" width="2.7109375" style="59" customWidth="1"/>
    <col min="43" max="43" width="9" style="59" customWidth="1"/>
    <col min="44" max="44" width="2.7109375" style="59" customWidth="1"/>
    <col min="45" max="45" width="4.5703125" style="59" bestFit="1" customWidth="1"/>
    <col min="46" max="46" width="12.5703125" style="59" bestFit="1" customWidth="1"/>
    <col min="47" max="47" width="4.5703125" style="59" bestFit="1" customWidth="1"/>
    <col min="48" max="48" width="2.7109375" style="59" customWidth="1"/>
    <col min="49" max="49" width="9" style="59" customWidth="1"/>
    <col min="50" max="50" width="2.7109375" style="59" customWidth="1"/>
    <col min="51" max="51" width="9" style="59" customWidth="1"/>
    <col min="52" max="52" width="2.7109375" style="59" customWidth="1"/>
    <col min="53" max="53" width="9" style="59" customWidth="1"/>
    <col min="54" max="54" width="2.7109375" style="59" customWidth="1"/>
    <col min="55" max="55" width="4.5703125" style="59" bestFit="1" customWidth="1"/>
    <col min="56" max="56" width="12.5703125" style="59" bestFit="1" customWidth="1"/>
    <col min="57" max="58" width="2.7109375" style="59" customWidth="1"/>
    <col min="59" max="60" width="13.7109375" style="59" customWidth="1"/>
    <col min="61" max="61" width="2.42578125" style="59" bestFit="1" customWidth="1"/>
    <col min="62" max="63" width="11" style="59" customWidth="1"/>
    <col min="64" max="64" width="2.7109375" style="59" customWidth="1"/>
    <col min="65" max="65" width="11" style="59" customWidth="1"/>
    <col min="66" max="16384" width="11.42578125" style="59"/>
  </cols>
  <sheetData>
    <row r="52" spans="28:64" x14ac:dyDescent="0.25">
      <c r="AB52" s="9" t="str">
        <f>IF(AND(AD54&lt;&gt;"",AD56&lt;&gt;"",AD58&lt;&gt;"",AF58&lt;&gt;"",AC61&lt;&gt;"",AC66&lt;&gt;"",AE61="ok",AE66="ok",AE61="ok"),"ok","nok")</f>
        <v>nok</v>
      </c>
      <c r="AC52" s="10" t="s">
        <v>0</v>
      </c>
      <c r="AD52" s="11"/>
      <c r="AE52" s="11"/>
      <c r="AF52" s="11"/>
      <c r="AG52" s="11"/>
      <c r="AH52" s="11"/>
      <c r="AI52" s="2"/>
      <c r="AJ52" s="21"/>
      <c r="AK52" s="24"/>
      <c r="AL52" s="10" t="s">
        <v>1</v>
      </c>
      <c r="AM52" s="24"/>
      <c r="AN52" s="10"/>
      <c r="AO52" s="24"/>
      <c r="AP52" s="24"/>
      <c r="AQ52" s="24"/>
      <c r="AR52" s="87" t="s">
        <v>2</v>
      </c>
      <c r="AS52" s="87"/>
      <c r="AT52" s="87"/>
      <c r="AU52" s="87"/>
      <c r="AV52" s="87"/>
      <c r="AW52" s="24"/>
      <c r="AX52" s="24"/>
      <c r="AY52" s="24"/>
      <c r="AZ52" s="25"/>
      <c r="BA52" s="24"/>
      <c r="BB52" s="25" t="s">
        <v>3</v>
      </c>
      <c r="BC52" s="24"/>
      <c r="BD52" s="21"/>
      <c r="BE52" s="2"/>
      <c r="BF52" s="26"/>
      <c r="BG52" s="27"/>
      <c r="BH52" s="26"/>
      <c r="BI52" s="26"/>
      <c r="BJ52" s="26"/>
      <c r="BK52" s="26"/>
      <c r="BL52" s="26"/>
    </row>
    <row r="53" spans="28:64" ht="15.75" thickBot="1" x14ac:dyDescent="0.3">
      <c r="AB53" s="1"/>
      <c r="AC53" s="67"/>
      <c r="AD53" s="13"/>
      <c r="AE53" s="12"/>
      <c r="AF53" s="12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30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1"/>
      <c r="BG53" s="72" t="s">
        <v>4</v>
      </c>
      <c r="BH53" s="4" t="s">
        <v>45</v>
      </c>
      <c r="BI53" s="4"/>
      <c r="BJ53" s="4"/>
      <c r="BK53" s="4"/>
      <c r="BL53" s="31"/>
    </row>
    <row r="54" spans="28:64" ht="15.75" thickBot="1" x14ac:dyDescent="0.3">
      <c r="AB54" s="1"/>
      <c r="AC54" s="5" t="s">
        <v>5</v>
      </c>
      <c r="AD54" s="88">
        <v>45802</v>
      </c>
      <c r="AE54" s="89"/>
      <c r="AF54" s="90"/>
      <c r="AG54" s="68">
        <f>IF(shiftDate&lt;&gt;"",AD54-DATE(YEAR(AD54),1,0),"")</f>
        <v>145</v>
      </c>
      <c r="AH54" s="1"/>
      <c r="AI54" s="2"/>
      <c r="AJ54" s="21"/>
      <c r="AK54" s="1"/>
      <c r="AL54" s="1"/>
      <c r="AM54" s="1"/>
      <c r="AN54" s="33"/>
      <c r="AO54" s="34"/>
      <c r="AP54" s="35"/>
      <c r="AQ54" s="1"/>
      <c r="AR54" s="1"/>
      <c r="AS54" s="36"/>
      <c r="AT54" s="30"/>
      <c r="AU54" s="37"/>
      <c r="AV54" s="1"/>
      <c r="AW54" s="1"/>
      <c r="AX54" s="33"/>
      <c r="AY54" s="34"/>
      <c r="AZ54" s="35"/>
      <c r="BA54" s="1"/>
      <c r="BB54" s="1"/>
      <c r="BC54" s="1"/>
      <c r="BD54" s="21"/>
      <c r="BE54" s="2"/>
      <c r="BF54" s="31"/>
      <c r="BG54" s="72" t="s">
        <v>6</v>
      </c>
      <c r="BH54" s="73" t="s">
        <v>7</v>
      </c>
      <c r="BI54" s="4"/>
      <c r="BJ54" s="4"/>
      <c r="BK54" s="4"/>
      <c r="BL54" s="31"/>
    </row>
    <row r="55" spans="28:64" ht="15.75" thickBot="1" x14ac:dyDescent="0.3">
      <c r="AB55" s="1"/>
      <c r="AC55" s="13" t="str">
        <f>IF(shiftDate&lt;&gt;"",CONCATENATE(TEXT(AD54,"JJMMAA"),"_",shiftVaccation,"_",shiftOperateur),"")</f>
        <v>250525_Matin_Nicolette</v>
      </c>
      <c r="AD55" s="13"/>
      <c r="AE55" s="13"/>
      <c r="AF55" s="12"/>
      <c r="AG55" s="12"/>
      <c r="AH55" s="1"/>
      <c r="AI55" s="2"/>
      <c r="AJ55" s="21"/>
      <c r="AK55" s="1"/>
      <c r="AL55" s="1"/>
      <c r="AM55" s="5" t="s">
        <v>8</v>
      </c>
      <c r="AN55" s="38"/>
      <c r="AO55" s="39"/>
      <c r="AP55" s="40"/>
      <c r="AQ55" s="1"/>
      <c r="AR55" s="1"/>
      <c r="AS55" s="36"/>
      <c r="AT55" s="41"/>
      <c r="AU55" s="37"/>
      <c r="AV55" s="1"/>
      <c r="AW55" s="1"/>
      <c r="AX55" s="38"/>
      <c r="AY55" s="39"/>
      <c r="AZ55" s="40"/>
      <c r="BA55" s="42" t="s">
        <v>8</v>
      </c>
      <c r="BB55" s="1"/>
      <c r="BC55" s="1"/>
      <c r="BD55" s="21"/>
      <c r="BE55" s="2"/>
      <c r="BF55" s="31"/>
      <c r="BG55" s="72" t="s">
        <v>9</v>
      </c>
      <c r="BH55" s="74">
        <v>3</v>
      </c>
      <c r="BI55" s="4"/>
      <c r="BJ55" s="4"/>
      <c r="BK55" s="4"/>
      <c r="BL55" s="31"/>
    </row>
    <row r="56" spans="28:64" ht="15.75" thickBot="1" x14ac:dyDescent="0.3">
      <c r="AB56" s="1"/>
      <c r="AC56" s="5" t="s">
        <v>10</v>
      </c>
      <c r="AD56" s="91" t="s">
        <v>41</v>
      </c>
      <c r="AE56" s="92"/>
      <c r="AF56" s="93"/>
      <c r="AG56" s="12"/>
      <c r="AH56" s="1"/>
      <c r="AI56" s="2"/>
      <c r="AJ56" s="21"/>
      <c r="AK56" s="1"/>
      <c r="AL56" s="1"/>
      <c r="AM56" s="5" t="s">
        <v>11</v>
      </c>
      <c r="AN56" s="38"/>
      <c r="AO56" s="43"/>
      <c r="AP56" s="40"/>
      <c r="AQ56" s="1"/>
      <c r="AR56" s="1"/>
      <c r="AS56" s="44"/>
      <c r="AT56" s="45"/>
      <c r="AU56" s="46"/>
      <c r="AV56" s="1"/>
      <c r="AW56" s="1"/>
      <c r="AX56" s="38"/>
      <c r="AY56" s="43"/>
      <c r="AZ56" s="40"/>
      <c r="BA56" s="42" t="s">
        <v>11</v>
      </c>
      <c r="BB56" s="1"/>
      <c r="BC56" s="1"/>
      <c r="BD56" s="21"/>
      <c r="BE56" s="2"/>
      <c r="BF56" s="31"/>
      <c r="BG56" s="72" t="s">
        <v>46</v>
      </c>
      <c r="BH56" s="74">
        <v>0</v>
      </c>
      <c r="BI56" s="4"/>
      <c r="BJ56" s="4"/>
      <c r="BK56" s="4"/>
      <c r="BL56" s="31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12</v>
      </c>
      <c r="AN57" s="38"/>
      <c r="AO57" s="47"/>
      <c r="AP57" s="40"/>
      <c r="AQ57" s="1"/>
      <c r="AR57" s="1"/>
      <c r="AS57" s="1"/>
      <c r="AT57" s="30"/>
      <c r="AU57" s="1"/>
      <c r="AV57" s="1"/>
      <c r="AW57" s="1"/>
      <c r="AX57" s="38"/>
      <c r="AY57" s="47"/>
      <c r="AZ57" s="40"/>
      <c r="BA57" s="42" t="s">
        <v>12</v>
      </c>
      <c r="BB57" s="1"/>
      <c r="BC57" s="1"/>
      <c r="BD57" s="21"/>
      <c r="BE57" s="2"/>
      <c r="BF57" s="31"/>
      <c r="BG57" s="72" t="s">
        <v>13</v>
      </c>
      <c r="BH57" s="73" t="s">
        <v>7</v>
      </c>
      <c r="BI57" s="4"/>
      <c r="BJ57" s="4"/>
      <c r="BK57" s="4"/>
      <c r="BL57" s="31"/>
    </row>
    <row r="58" spans="28:64" ht="15.75" thickBot="1" x14ac:dyDescent="0.25">
      <c r="AB58" s="1"/>
      <c r="AC58" s="5" t="s">
        <v>14</v>
      </c>
      <c r="AD58" s="62" t="s">
        <v>15</v>
      </c>
      <c r="AE58" s="12"/>
      <c r="AF58" s="63">
        <v>0.33333333333333331</v>
      </c>
      <c r="AG58" s="12"/>
      <c r="AH58" s="1"/>
      <c r="AI58" s="2"/>
      <c r="AJ58" s="21"/>
      <c r="AK58" s="1"/>
      <c r="AL58" s="1"/>
      <c r="AM58" s="3"/>
      <c r="AN58" s="48"/>
      <c r="AO58" s="49"/>
      <c r="AP58" s="50"/>
      <c r="AQ58" s="1"/>
      <c r="AR58" s="1"/>
      <c r="AS58" s="1"/>
      <c r="AT58" s="41"/>
      <c r="AU58" s="1"/>
      <c r="AV58" s="1"/>
      <c r="AW58" s="1"/>
      <c r="AX58" s="48"/>
      <c r="AY58" s="49"/>
      <c r="AZ58" s="50"/>
      <c r="BA58" s="1"/>
      <c r="BB58" s="1"/>
      <c r="BC58" s="1"/>
      <c r="BD58" s="21"/>
      <c r="BE58" s="2"/>
      <c r="BF58" s="31"/>
      <c r="BG58" s="72" t="s">
        <v>16</v>
      </c>
      <c r="BH58" s="74">
        <v>0</v>
      </c>
      <c r="BI58" s="4"/>
      <c r="BJ58" s="75" t="s">
        <v>44</v>
      </c>
      <c r="BK58" s="76" t="s">
        <v>17</v>
      </c>
      <c r="BL58" s="31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30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1"/>
      <c r="BG59" s="72" t="str">
        <f>CONCATENATE("ep &lt; ",BK59)</f>
        <v>ep &lt; 3,5</v>
      </c>
      <c r="BH59" s="74">
        <v>3</v>
      </c>
      <c r="BI59" s="4"/>
      <c r="BJ59" s="70">
        <v>4.2</v>
      </c>
      <c r="BK59" s="71">
        <v>3.5</v>
      </c>
      <c r="BL59" s="31"/>
    </row>
    <row r="60" spans="28:64" ht="15.75" thickBot="1" x14ac:dyDescent="0.3">
      <c r="AB60" s="1"/>
      <c r="AC60" s="96" t="s">
        <v>43</v>
      </c>
      <c r="AD60" s="96"/>
      <c r="AE60" s="12"/>
      <c r="AF60" s="52" t="str">
        <f>IF(AC61="Démarrée","Longueur Enroulée PP","")</f>
        <v/>
      </c>
      <c r="AG60" s="52"/>
      <c r="AH60" s="1"/>
      <c r="AI60" s="2"/>
      <c r="AJ60" s="21"/>
      <c r="AK60" s="24"/>
      <c r="AL60" s="10" t="s">
        <v>38</v>
      </c>
      <c r="AM60" s="24"/>
      <c r="AN60" s="24"/>
      <c r="AO60" s="24"/>
      <c r="AP60" s="24"/>
      <c r="AQ60" s="24"/>
      <c r="AR60" s="24"/>
      <c r="AS60" s="24"/>
      <c r="AT60" s="51"/>
      <c r="AU60" s="24"/>
      <c r="AV60" s="24"/>
      <c r="AW60" s="24"/>
      <c r="AX60" s="24"/>
      <c r="AY60" s="24"/>
      <c r="AZ60" s="24"/>
      <c r="BA60" s="24"/>
      <c r="BB60" s="25" t="s">
        <v>39</v>
      </c>
      <c r="BC60" s="24"/>
      <c r="BD60" s="21"/>
      <c r="BE60" s="2"/>
      <c r="BF60" s="31"/>
      <c r="BG60" s="72"/>
      <c r="BH60" s="4" t="s">
        <v>17</v>
      </c>
      <c r="BI60" s="97" t="s">
        <v>18</v>
      </c>
      <c r="BJ60" s="97"/>
      <c r="BK60" s="4" t="s">
        <v>19</v>
      </c>
      <c r="BL60" s="31"/>
    </row>
    <row r="61" spans="28:64" ht="15.75" thickBot="1" x14ac:dyDescent="0.3">
      <c r="AB61" s="1"/>
      <c r="AC61" s="94" t="s">
        <v>42</v>
      </c>
      <c r="AD61" s="95"/>
      <c r="AE61" s="28" t="str">
        <f>IF(AND(AC61="Démarrée", AF61=""), "nok", "ok")</f>
        <v>ok</v>
      </c>
      <c r="AF61" s="53">
        <v>2</v>
      </c>
      <c r="AG61" s="29" t="str">
        <f>IF(AF60&lt;&gt;"","m","")</f>
        <v/>
      </c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30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1"/>
      <c r="BG61" s="72" t="s">
        <v>20</v>
      </c>
      <c r="BH61" s="4">
        <v>20</v>
      </c>
      <c r="BI61" s="97">
        <v>30</v>
      </c>
      <c r="BJ61" s="97"/>
      <c r="BK61" s="4">
        <v>50</v>
      </c>
      <c r="BL61" s="31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21"/>
      <c r="AK62" s="1"/>
      <c r="AL62" s="33"/>
      <c r="AM62" s="34"/>
      <c r="AN62" s="35"/>
      <c r="AO62" s="1"/>
      <c r="AP62" s="33"/>
      <c r="AQ62" s="34"/>
      <c r="AR62" s="35"/>
      <c r="AS62" s="1"/>
      <c r="AT62" s="30"/>
      <c r="AU62" s="1"/>
      <c r="AV62" s="33"/>
      <c r="AW62" s="34"/>
      <c r="AX62" s="35"/>
      <c r="AY62" s="1"/>
      <c r="AZ62" s="33"/>
      <c r="BA62" s="34"/>
      <c r="BB62" s="35"/>
      <c r="BC62" s="1"/>
      <c r="BD62" s="21"/>
      <c r="BE62" s="2"/>
      <c r="BF62" s="31"/>
      <c r="BG62" s="72" t="s">
        <v>21</v>
      </c>
      <c r="BH62" s="4">
        <v>0.14000000000000001</v>
      </c>
      <c r="BI62" s="97">
        <v>0.2</v>
      </c>
      <c r="BJ62" s="97"/>
      <c r="BK62" s="4">
        <v>0.35</v>
      </c>
      <c r="BL62" s="31"/>
    </row>
    <row r="63" spans="28:64" ht="15.75" thickBot="1" x14ac:dyDescent="0.3">
      <c r="AB63" s="1"/>
      <c r="AC63" s="96" t="s">
        <v>43</v>
      </c>
      <c r="AD63" s="96"/>
      <c r="AE63" s="12"/>
      <c r="AF63" s="52" t="str">
        <f>IF(AC64="Démarrée","Longueur Enroulée FP","")</f>
        <v/>
      </c>
      <c r="AG63" s="52"/>
      <c r="AH63" s="1"/>
      <c r="AI63" s="2"/>
      <c r="AJ63" s="21"/>
      <c r="AK63" s="1"/>
      <c r="AL63" s="38"/>
      <c r="AM63" s="54"/>
      <c r="AN63" s="40"/>
      <c r="AO63" s="1"/>
      <c r="AP63" s="38"/>
      <c r="AQ63" s="54"/>
      <c r="AR63" s="40"/>
      <c r="AS63" s="1"/>
      <c r="AT63" s="30"/>
      <c r="AU63" s="1"/>
      <c r="AV63" s="38"/>
      <c r="AW63" s="54"/>
      <c r="AX63" s="40"/>
      <c r="AY63" s="1"/>
      <c r="AZ63" s="38"/>
      <c r="BA63" s="54"/>
      <c r="BB63" s="40"/>
      <c r="BC63" s="1"/>
      <c r="BD63" s="21"/>
      <c r="BE63" s="2"/>
      <c r="BF63" s="31"/>
      <c r="BG63" s="72" t="s">
        <v>22</v>
      </c>
      <c r="BH63" s="4">
        <v>72</v>
      </c>
      <c r="BI63" s="97">
        <v>81</v>
      </c>
      <c r="BJ63" s="97"/>
      <c r="BK63" s="4">
        <v>92</v>
      </c>
      <c r="BL63" s="31"/>
    </row>
    <row r="64" spans="28:64" ht="15.75" thickBot="1" x14ac:dyDescent="0.3">
      <c r="AB64" s="1"/>
      <c r="AC64" s="94" t="s">
        <v>42</v>
      </c>
      <c r="AD64" s="95"/>
      <c r="AE64" s="28" t="str">
        <f>IF(AND(AC64="Démarrée", AF64=""), "nok", "ok")</f>
        <v>ok</v>
      </c>
      <c r="AF64" s="53">
        <v>2</v>
      </c>
      <c r="AG64" s="29" t="str">
        <f>IF(AF63&lt;&gt;"","m","")</f>
        <v/>
      </c>
      <c r="AH64" s="1"/>
      <c r="AI64" s="2"/>
      <c r="AJ64" s="21"/>
      <c r="AK64" s="1"/>
      <c r="AL64" s="48"/>
      <c r="AM64" s="49"/>
      <c r="AN64" s="50"/>
      <c r="AO64" s="1"/>
      <c r="AP64" s="48"/>
      <c r="AQ64" s="49"/>
      <c r="AR64" s="50"/>
      <c r="AS64" s="1"/>
      <c r="AT64" s="30"/>
      <c r="AU64" s="1"/>
      <c r="AV64" s="48"/>
      <c r="AW64" s="49"/>
      <c r="AX64" s="50"/>
      <c r="AY64" s="1"/>
      <c r="AZ64" s="48"/>
      <c r="BA64" s="49"/>
      <c r="BB64" s="50"/>
      <c r="BC64" s="1"/>
      <c r="BD64" s="21"/>
      <c r="BE64" s="2"/>
      <c r="BF64" s="31"/>
      <c r="BG64" s="72" t="s">
        <v>23</v>
      </c>
      <c r="BH64" s="4">
        <v>8.9999999999999993E-3</v>
      </c>
      <c r="BI64" s="97">
        <v>1.1299999999999999E-2</v>
      </c>
      <c r="BJ64" s="97"/>
      <c r="BK64" s="4">
        <v>1.1900000000000001E-2</v>
      </c>
      <c r="BL64" s="31"/>
    </row>
    <row r="65" spans="28:64" x14ac:dyDescent="0.25">
      <c r="AB65" s="1"/>
      <c r="AC65" s="52"/>
      <c r="AD65" s="52"/>
      <c r="AE65" s="52"/>
      <c r="AF65" s="52"/>
      <c r="AG65" s="52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30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1"/>
      <c r="BG65" s="32"/>
      <c r="BH65" s="31"/>
      <c r="BI65" s="31"/>
      <c r="BJ65" s="31"/>
      <c r="BK65" s="31"/>
      <c r="BL65" s="31"/>
    </row>
    <row r="66" spans="28:64" x14ac:dyDescent="0.25">
      <c r="AB66" s="1"/>
      <c r="AC66" s="85" t="s">
        <v>25</v>
      </c>
      <c r="AD66" s="85"/>
      <c r="AE66" s="85"/>
      <c r="AF66" s="85"/>
      <c r="AG66" s="85"/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1"/>
      <c r="AC67" s="84"/>
      <c r="AD67" s="84"/>
      <c r="AE67" s="84"/>
      <c r="AF67" s="84"/>
      <c r="AG67" s="84"/>
      <c r="AH67" s="1"/>
      <c r="AI67" s="2"/>
      <c r="AJ67" s="56" t="s">
        <v>40</v>
      </c>
      <c r="AK67" s="57"/>
      <c r="AL67" s="57"/>
      <c r="AM67" s="57"/>
      <c r="AN67" s="57"/>
      <c r="AO67" s="57"/>
      <c r="AP67" s="57"/>
      <c r="AQ67" s="57"/>
      <c r="AR67" s="56"/>
      <c r="AS67" s="57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6"/>
      <c r="BE67" s="2"/>
      <c r="BF67" s="9" t="str">
        <f>IF(AND(BH69&lt;&gt;""),"ok","nok")</f>
        <v>nok</v>
      </c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69"/>
      <c r="AD68" s="69"/>
      <c r="AE68" s="69"/>
      <c r="AF68" s="69"/>
      <c r="AG68" s="69"/>
      <c r="AH68" s="1"/>
      <c r="AI68" s="2"/>
      <c r="AJ68" s="66"/>
      <c r="AK68" s="107"/>
      <c r="AL68" s="104"/>
      <c r="AM68" s="105"/>
      <c r="AN68" s="105"/>
      <c r="AO68" s="105"/>
      <c r="AP68" s="105"/>
      <c r="AQ68" s="105"/>
      <c r="AR68" s="104"/>
      <c r="AS68" s="108"/>
      <c r="AT68" s="64"/>
      <c r="AU68" s="108"/>
      <c r="AV68" s="104"/>
      <c r="AW68" s="105"/>
      <c r="AX68" s="105"/>
      <c r="AY68" s="105"/>
      <c r="AZ68" s="105"/>
      <c r="BA68" s="105"/>
      <c r="BB68" s="106"/>
      <c r="BC68" s="109"/>
      <c r="BD68" s="65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69"/>
      <c r="AD69" s="69"/>
      <c r="AE69" s="69"/>
      <c r="AF69" s="69"/>
      <c r="AG69" s="69"/>
      <c r="AH69" s="1"/>
      <c r="AI69" s="2"/>
      <c r="AJ69" s="66"/>
      <c r="AK69" s="107"/>
      <c r="AL69" s="104"/>
      <c r="AM69" s="105"/>
      <c r="AN69" s="105"/>
      <c r="AO69" s="105"/>
      <c r="AP69" s="105"/>
      <c r="AQ69" s="105"/>
      <c r="AR69" s="104"/>
      <c r="AS69" s="108"/>
      <c r="AT69" s="64"/>
      <c r="AU69" s="108"/>
      <c r="AV69" s="104"/>
      <c r="AW69" s="105"/>
      <c r="AX69" s="105"/>
      <c r="AY69" s="105"/>
      <c r="AZ69" s="105"/>
      <c r="BA69" s="105"/>
      <c r="BB69" s="106"/>
      <c r="BC69" s="109"/>
      <c r="BD69" s="65"/>
      <c r="BE69" s="2"/>
      <c r="BF69" s="1"/>
      <c r="BG69" s="5" t="s">
        <v>27</v>
      </c>
      <c r="BH69" s="41"/>
      <c r="BI69" s="1"/>
      <c r="BJ69" s="4">
        <v>100</v>
      </c>
      <c r="BK69" s="1"/>
      <c r="BL69" s="1"/>
    </row>
    <row r="70" spans="28:64" ht="15.75" thickBot="1" x14ac:dyDescent="0.3">
      <c r="AB70" s="1"/>
      <c r="AC70" s="84"/>
      <c r="AD70" s="84"/>
      <c r="AE70" s="84"/>
      <c r="AF70" s="84"/>
      <c r="AG70" s="84"/>
      <c r="AH70" s="1"/>
      <c r="AI70" s="2"/>
      <c r="AJ70" s="66"/>
      <c r="AK70" s="107"/>
      <c r="AL70" s="104"/>
      <c r="AM70" s="82"/>
      <c r="AN70" s="105"/>
      <c r="AO70" s="82"/>
      <c r="AP70" s="105"/>
      <c r="AQ70" s="82"/>
      <c r="AR70" s="104"/>
      <c r="AS70" s="108"/>
      <c r="AT70" s="64"/>
      <c r="AU70" s="108"/>
      <c r="AV70" s="104"/>
      <c r="AW70" s="82"/>
      <c r="AX70" s="105"/>
      <c r="AY70" s="82"/>
      <c r="AZ70" s="105"/>
      <c r="BA70" s="82"/>
      <c r="BB70" s="106"/>
      <c r="BC70" s="109"/>
      <c r="BD70" s="65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84"/>
      <c r="AD71" s="84"/>
      <c r="AE71" s="84"/>
      <c r="AF71" s="84"/>
      <c r="AG71" s="84"/>
      <c r="AH71" s="1"/>
      <c r="AI71" s="2"/>
      <c r="AJ71" s="66"/>
      <c r="AK71" s="107"/>
      <c r="AL71" s="104"/>
      <c r="AM71" s="110"/>
      <c r="AN71" s="105"/>
      <c r="AO71" s="110"/>
      <c r="AP71" s="105"/>
      <c r="AQ71" s="110"/>
      <c r="AR71" s="104"/>
      <c r="AS71" s="108"/>
      <c r="AT71" s="64"/>
      <c r="AU71" s="108"/>
      <c r="AV71" s="104"/>
      <c r="AW71" s="110"/>
      <c r="AX71" s="105"/>
      <c r="AY71" s="110"/>
      <c r="AZ71" s="105"/>
      <c r="BA71" s="110"/>
      <c r="BB71" s="106"/>
      <c r="BC71" s="109"/>
      <c r="BD71" s="65"/>
      <c r="BE71" s="2"/>
      <c r="BF71" s="1"/>
      <c r="BG71" s="5" t="s">
        <v>28</v>
      </c>
      <c r="BH71" s="111">
        <v>50</v>
      </c>
      <c r="BI71" s="23" t="s">
        <v>29</v>
      </c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6"/>
      <c r="AK72" s="107"/>
      <c r="AL72" s="104"/>
      <c r="AM72" s="105"/>
      <c r="AN72" s="105"/>
      <c r="AO72" s="105"/>
      <c r="AP72" s="105"/>
      <c r="AQ72" s="105"/>
      <c r="AR72" s="104"/>
      <c r="AS72" s="108"/>
      <c r="AT72" s="64"/>
      <c r="AU72" s="108"/>
      <c r="AV72" s="104"/>
      <c r="AW72" s="105"/>
      <c r="AX72" s="105"/>
      <c r="AY72" s="105"/>
      <c r="AZ72" s="105"/>
      <c r="BA72" s="105"/>
      <c r="BB72" s="106"/>
      <c r="BC72" s="109"/>
      <c r="BD72" s="65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6"/>
      <c r="AK73" s="107"/>
      <c r="AL73" s="104"/>
      <c r="AM73" s="105"/>
      <c r="AN73" s="105"/>
      <c r="AO73" s="105"/>
      <c r="AP73" s="105"/>
      <c r="AQ73" s="105"/>
      <c r="AR73" s="104"/>
      <c r="AS73" s="108"/>
      <c r="AT73" s="64"/>
      <c r="AU73" s="108"/>
      <c r="AV73" s="104"/>
      <c r="AW73" s="105"/>
      <c r="AX73" s="105"/>
      <c r="AY73" s="105"/>
      <c r="AZ73" s="105"/>
      <c r="BA73" s="105"/>
      <c r="BB73" s="106"/>
      <c r="BC73" s="109"/>
      <c r="BD73" s="65"/>
      <c r="BE73" s="2"/>
      <c r="BF73" s="1"/>
      <c r="BG73" s="5" t="s">
        <v>30</v>
      </c>
      <c r="BH73" s="6">
        <v>602999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6"/>
      <c r="AK74" s="107"/>
      <c r="AL74" s="104"/>
      <c r="AM74" s="105"/>
      <c r="AN74" s="105"/>
      <c r="AO74" s="105"/>
      <c r="AP74" s="105"/>
      <c r="AQ74" s="105"/>
      <c r="AR74" s="104"/>
      <c r="AS74" s="108"/>
      <c r="AT74" s="64"/>
      <c r="AU74" s="108"/>
      <c r="AV74" s="104"/>
      <c r="AW74" s="105"/>
      <c r="AX74" s="105"/>
      <c r="AY74" s="105"/>
      <c r="AZ74" s="105"/>
      <c r="BA74" s="105"/>
      <c r="BB74" s="106"/>
      <c r="BC74" s="109"/>
      <c r="BD74" s="65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6"/>
      <c r="AK75" s="107"/>
      <c r="AL75" s="104"/>
      <c r="AM75" s="82"/>
      <c r="AN75" s="105"/>
      <c r="AO75" s="82"/>
      <c r="AP75" s="105"/>
      <c r="AQ75" s="82"/>
      <c r="AR75" s="104"/>
      <c r="AS75" s="108"/>
      <c r="AT75" s="64"/>
      <c r="AU75" s="108"/>
      <c r="AV75" s="104"/>
      <c r="AW75" s="82"/>
      <c r="AX75" s="105"/>
      <c r="AY75" s="82"/>
      <c r="AZ75" s="105"/>
      <c r="BA75" s="82"/>
      <c r="BB75" s="106"/>
      <c r="BC75" s="109"/>
      <c r="BD75" s="65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6"/>
      <c r="AK76" s="107"/>
      <c r="AL76" s="104"/>
      <c r="AM76" s="110"/>
      <c r="AN76" s="105"/>
      <c r="AO76" s="110"/>
      <c r="AP76" s="105"/>
      <c r="AQ76" s="110"/>
      <c r="AR76" s="104"/>
      <c r="AS76" s="108"/>
      <c r="AT76" s="64"/>
      <c r="AU76" s="108"/>
      <c r="AV76" s="104"/>
      <c r="AW76" s="110"/>
      <c r="AX76" s="105"/>
      <c r="AY76" s="110"/>
      <c r="AZ76" s="105"/>
      <c r="BA76" s="110"/>
      <c r="BB76" s="106"/>
      <c r="BC76" s="109"/>
      <c r="BD76" s="65"/>
      <c r="BE76" s="2"/>
      <c r="BF76" s="9" t="str">
        <f>IF(AND(BH78&lt;&gt;"",BH80&lt;&gt;"",BH81&lt;&gt;"",BH82&lt;&gt;"",BF79=0),"ok","nok")</f>
        <v>ok</v>
      </c>
      <c r="BG76" s="10" t="s">
        <v>31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6"/>
      <c r="AK77" s="107"/>
      <c r="AL77" s="104"/>
      <c r="AM77" s="105"/>
      <c r="AN77" s="105"/>
      <c r="AO77" s="105"/>
      <c r="AP77" s="105"/>
      <c r="AQ77" s="105"/>
      <c r="AR77" s="104"/>
      <c r="AS77" s="108"/>
      <c r="AT77" s="64"/>
      <c r="AU77" s="108"/>
      <c r="AV77" s="104"/>
      <c r="AW77" s="105"/>
      <c r="AX77" s="105"/>
      <c r="AY77" s="105"/>
      <c r="AZ77" s="105"/>
      <c r="BA77" s="105"/>
      <c r="BB77" s="106"/>
      <c r="BC77" s="109"/>
      <c r="BD77" s="65"/>
      <c r="BE77" s="2"/>
      <c r="BF77" s="1"/>
      <c r="BG77" s="3"/>
      <c r="BH77" s="1"/>
      <c r="BI77" s="1"/>
      <c r="BJ77" s="85" t="s">
        <v>32</v>
      </c>
      <c r="BK77" s="85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6"/>
      <c r="AK78" s="107"/>
      <c r="AL78" s="104"/>
      <c r="AM78" s="105"/>
      <c r="AN78" s="105"/>
      <c r="AO78" s="105"/>
      <c r="AP78" s="105"/>
      <c r="AQ78" s="105"/>
      <c r="AR78" s="104"/>
      <c r="AS78" s="108"/>
      <c r="AT78" s="64"/>
      <c r="AU78" s="108"/>
      <c r="AV78" s="104"/>
      <c r="AW78" s="105"/>
      <c r="AX78" s="105"/>
      <c r="AY78" s="105"/>
      <c r="AZ78" s="105"/>
      <c r="BA78" s="105"/>
      <c r="BB78" s="106"/>
      <c r="BC78" s="109"/>
      <c r="BD78" s="65"/>
      <c r="BE78" s="2"/>
      <c r="BF78" s="1"/>
      <c r="BG78" s="5" t="s">
        <v>33</v>
      </c>
      <c r="BH78" s="6">
        <v>19</v>
      </c>
      <c r="BI78" s="1"/>
      <c r="BJ78" s="86" t="str">
        <f>IF(COUNTIF(BK85:BK86,TRUE)=2,"CONFORME","NON CONFORME")</f>
        <v>CONFORME</v>
      </c>
      <c r="BK78" s="86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6"/>
      <c r="AK79" s="107"/>
      <c r="AL79" s="104"/>
      <c r="AM79" s="105"/>
      <c r="AN79" s="105"/>
      <c r="AO79" s="105"/>
      <c r="AP79" s="105"/>
      <c r="AQ79" s="105"/>
      <c r="AR79" s="104"/>
      <c r="AS79" s="108"/>
      <c r="AT79" s="64"/>
      <c r="AU79" s="108"/>
      <c r="AV79" s="104"/>
      <c r="AW79" s="105"/>
      <c r="AX79" s="105"/>
      <c r="AY79" s="105"/>
      <c r="AZ79" s="105"/>
      <c r="BA79" s="105"/>
      <c r="BB79" s="106"/>
      <c r="BC79" s="109"/>
      <c r="BD79" s="65"/>
      <c r="BE79" s="2"/>
      <c r="BF79" s="13"/>
      <c r="BG79" s="14" t="str">
        <f>IF(BJ78="CONFORME",CONCATENATE(BH69,"-",BH78),CONCATENATE(BH73,"-",AC53))</f>
        <v>-19</v>
      </c>
      <c r="BH79" s="15"/>
      <c r="BI79" s="1"/>
      <c r="BJ79" s="86"/>
      <c r="BK79" s="86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6"/>
      <c r="AK80" s="107"/>
      <c r="AL80" s="104"/>
      <c r="AM80" s="82"/>
      <c r="AN80" s="105"/>
      <c r="AO80" s="82"/>
      <c r="AP80" s="105"/>
      <c r="AQ80" s="82"/>
      <c r="AR80" s="104"/>
      <c r="AS80" s="108"/>
      <c r="AT80" s="64"/>
      <c r="AU80" s="108"/>
      <c r="AV80" s="104"/>
      <c r="AW80" s="82"/>
      <c r="AX80" s="105"/>
      <c r="AY80" s="82"/>
      <c r="AZ80" s="105"/>
      <c r="BA80" s="82"/>
      <c r="BB80" s="106"/>
      <c r="BC80" s="109"/>
      <c r="BD80" s="65"/>
      <c r="BE80" s="2"/>
      <c r="BF80" s="1"/>
      <c r="BG80" s="5" t="s">
        <v>34</v>
      </c>
      <c r="BH80" s="16">
        <v>803</v>
      </c>
      <c r="BI80" s="1"/>
      <c r="BJ80" s="83" t="str">
        <f>IF(BH79="nok","Attention un rouleau porte déjà ce numéro","")</f>
        <v/>
      </c>
      <c r="BK80" s="83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6"/>
      <c r="AK81" s="107"/>
      <c r="AL81" s="104"/>
      <c r="AM81" s="110"/>
      <c r="AN81" s="105"/>
      <c r="AO81" s="110"/>
      <c r="AP81" s="105"/>
      <c r="AQ81" s="110"/>
      <c r="AR81" s="104"/>
      <c r="AS81" s="108"/>
      <c r="AT81" s="64"/>
      <c r="AU81" s="108"/>
      <c r="AV81" s="104"/>
      <c r="AW81" s="110"/>
      <c r="AX81" s="105"/>
      <c r="AY81" s="110"/>
      <c r="AZ81" s="105"/>
      <c r="BA81" s="110"/>
      <c r="BB81" s="106"/>
      <c r="BC81" s="109"/>
      <c r="BD81" s="65"/>
      <c r="BE81" s="2"/>
      <c r="BF81" s="1"/>
      <c r="BG81" s="5" t="s">
        <v>35</v>
      </c>
      <c r="BH81" s="17">
        <v>2643</v>
      </c>
      <c r="BI81" s="18"/>
      <c r="BJ81" s="83"/>
      <c r="BK81" s="83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6"/>
      <c r="AK82" s="107"/>
      <c r="AL82" s="104"/>
      <c r="AM82" s="105"/>
      <c r="AN82" s="105"/>
      <c r="AO82" s="105"/>
      <c r="AP82" s="105"/>
      <c r="AQ82" s="105"/>
      <c r="AR82" s="104"/>
      <c r="AS82" s="108"/>
      <c r="AT82" s="64"/>
      <c r="AU82" s="108"/>
      <c r="AV82" s="104"/>
      <c r="AW82" s="105"/>
      <c r="AX82" s="105"/>
      <c r="AY82" s="105"/>
      <c r="AZ82" s="105"/>
      <c r="BA82" s="105"/>
      <c r="BB82" s="106"/>
      <c r="BC82" s="109"/>
      <c r="BD82" s="65"/>
      <c r="BE82" s="2"/>
      <c r="BF82" s="1"/>
      <c r="BG82" s="5" t="s">
        <v>36</v>
      </c>
      <c r="BH82" s="19">
        <v>5</v>
      </c>
      <c r="BI82" s="1"/>
      <c r="BJ82" s="5" t="s">
        <v>37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6"/>
      <c r="AK83" s="107"/>
      <c r="AL83" s="104"/>
      <c r="AM83" s="105"/>
      <c r="AN83" s="105"/>
      <c r="AO83" s="105"/>
      <c r="AP83" s="105"/>
      <c r="AQ83" s="105"/>
      <c r="AR83" s="104"/>
      <c r="AS83" s="108"/>
      <c r="AT83" s="64"/>
      <c r="AU83" s="108"/>
      <c r="AV83" s="104"/>
      <c r="AW83" s="105"/>
      <c r="AX83" s="105"/>
      <c r="AY83" s="105"/>
      <c r="AZ83" s="105"/>
      <c r="BA83" s="105"/>
      <c r="BB83" s="106"/>
      <c r="BC83" s="109"/>
      <c r="BD83" s="65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6"/>
      <c r="AK84" s="107"/>
      <c r="AL84" s="104"/>
      <c r="AM84" s="105"/>
      <c r="AN84" s="105"/>
      <c r="AO84" s="105"/>
      <c r="AP84" s="105"/>
      <c r="AQ84" s="105"/>
      <c r="AR84" s="104"/>
      <c r="AS84" s="108"/>
      <c r="AT84" s="64"/>
      <c r="AU84" s="108"/>
      <c r="AV84" s="104"/>
      <c r="AW84" s="105"/>
      <c r="AX84" s="105"/>
      <c r="AY84" s="105"/>
      <c r="AZ84" s="105"/>
      <c r="BA84" s="105"/>
      <c r="BB84" s="106"/>
      <c r="BC84" s="109"/>
      <c r="BD84" s="65"/>
      <c r="BE84" s="2"/>
      <c r="BF84" s="2"/>
      <c r="BG84" s="20"/>
      <c r="BH84" s="21"/>
      <c r="BI84" s="2"/>
      <c r="BJ84" s="2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6"/>
      <c r="AK85" s="107"/>
      <c r="AL85" s="104"/>
      <c r="AM85" s="82"/>
      <c r="AN85" s="105"/>
      <c r="AO85" s="82"/>
      <c r="AP85" s="105"/>
      <c r="AQ85" s="82"/>
      <c r="AR85" s="104"/>
      <c r="AS85" s="108"/>
      <c r="AT85" s="64"/>
      <c r="AU85" s="108"/>
      <c r="AV85" s="104"/>
      <c r="AW85" s="82"/>
      <c r="AX85" s="105"/>
      <c r="AY85" s="82"/>
      <c r="AZ85" s="105"/>
      <c r="BA85" s="82"/>
      <c r="BB85" s="106"/>
      <c r="BC85" s="109"/>
      <c r="BD85" s="65"/>
      <c r="BE85" s="2"/>
      <c r="BF85" s="2"/>
      <c r="BG85" s="81"/>
      <c r="BH85" s="20"/>
      <c r="BI85" s="20"/>
      <c r="BJ85" s="20"/>
      <c r="BK85" s="79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6"/>
      <c r="AK86" s="107"/>
      <c r="AL86" s="104"/>
      <c r="AM86" s="110"/>
      <c r="AN86" s="105"/>
      <c r="AO86" s="110"/>
      <c r="AP86" s="105"/>
      <c r="AQ86" s="110"/>
      <c r="AR86" s="104"/>
      <c r="AS86" s="108"/>
      <c r="AT86" s="64"/>
      <c r="AU86" s="108"/>
      <c r="AV86" s="104"/>
      <c r="AW86" s="110"/>
      <c r="AX86" s="105"/>
      <c r="AY86" s="110"/>
      <c r="AZ86" s="105"/>
      <c r="BA86" s="110"/>
      <c r="BB86" s="106"/>
      <c r="BC86" s="109"/>
      <c r="BD86" s="65"/>
      <c r="BE86" s="2"/>
      <c r="BF86" s="2"/>
      <c r="BG86" s="81"/>
      <c r="BH86" s="20"/>
      <c r="BI86" s="20"/>
      <c r="BJ86" s="20"/>
      <c r="BK86" s="79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6"/>
      <c r="AK87" s="107"/>
      <c r="AL87" s="104"/>
      <c r="AM87" s="105"/>
      <c r="AN87" s="105"/>
      <c r="AO87" s="105"/>
      <c r="AP87" s="105"/>
      <c r="AQ87" s="105"/>
      <c r="AR87" s="104"/>
      <c r="AS87" s="108"/>
      <c r="AT87" s="64"/>
      <c r="AU87" s="108"/>
      <c r="AV87" s="104"/>
      <c r="AW87" s="105"/>
      <c r="AX87" s="105"/>
      <c r="AY87" s="105"/>
      <c r="AZ87" s="105"/>
      <c r="BA87" s="105"/>
      <c r="BB87" s="106"/>
      <c r="BC87" s="109"/>
      <c r="BD87" s="65"/>
      <c r="BE87" s="2"/>
      <c r="BF87" s="2"/>
      <c r="BG87" s="81"/>
      <c r="BH87" s="20"/>
      <c r="BI87" s="20"/>
      <c r="BJ87" s="20"/>
      <c r="BK87" s="79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66"/>
      <c r="AK88" s="107"/>
      <c r="AL88" s="104"/>
      <c r="AM88" s="105"/>
      <c r="AN88" s="105"/>
      <c r="AO88" s="105"/>
      <c r="AP88" s="105"/>
      <c r="AQ88" s="105"/>
      <c r="AR88" s="104"/>
      <c r="AS88" s="108"/>
      <c r="AT88" s="64"/>
      <c r="AU88" s="108"/>
      <c r="AV88" s="104"/>
      <c r="AW88" s="105"/>
      <c r="AX88" s="105"/>
      <c r="AY88" s="105"/>
      <c r="AZ88" s="105"/>
      <c r="BA88" s="105"/>
      <c r="BB88" s="106"/>
      <c r="BC88" s="109"/>
      <c r="BD88" s="65"/>
      <c r="BE88" s="2"/>
      <c r="BF88" s="2"/>
      <c r="BG88" s="81"/>
      <c r="BH88" s="20"/>
      <c r="BI88" s="20"/>
      <c r="BJ88" s="20"/>
      <c r="BK88" s="79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66"/>
      <c r="AK89" s="107"/>
      <c r="AL89" s="104"/>
      <c r="AM89" s="105"/>
      <c r="AN89" s="105"/>
      <c r="AO89" s="105"/>
      <c r="AP89" s="105"/>
      <c r="AQ89" s="105"/>
      <c r="AR89" s="104"/>
      <c r="AS89" s="108"/>
      <c r="AT89" s="64"/>
      <c r="AU89" s="108"/>
      <c r="AV89" s="104"/>
      <c r="AW89" s="105"/>
      <c r="AX89" s="105"/>
      <c r="AY89" s="105"/>
      <c r="AZ89" s="105"/>
      <c r="BA89" s="105"/>
      <c r="BB89" s="106"/>
      <c r="BC89" s="109"/>
      <c r="BD89" s="65"/>
      <c r="BE89" s="2"/>
      <c r="BF89" s="2"/>
      <c r="BG89" s="77"/>
      <c r="BH89" s="77"/>
      <c r="BI89" s="77"/>
      <c r="BJ89" s="78"/>
      <c r="BK89" s="80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66"/>
      <c r="AK90" s="107"/>
      <c r="AL90" s="104"/>
      <c r="AM90" s="82"/>
      <c r="AN90" s="105"/>
      <c r="AO90" s="82"/>
      <c r="AP90" s="105"/>
      <c r="AQ90" s="82"/>
      <c r="AR90" s="104"/>
      <c r="AS90" s="108"/>
      <c r="AT90" s="64"/>
      <c r="AU90" s="108"/>
      <c r="AV90" s="104"/>
      <c r="AW90" s="82"/>
      <c r="AX90" s="105"/>
      <c r="AY90" s="82"/>
      <c r="AZ90" s="105"/>
      <c r="BA90" s="82"/>
      <c r="BB90" s="106"/>
      <c r="BC90" s="109"/>
      <c r="BD90" s="65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66"/>
      <c r="AK91" s="107"/>
      <c r="AL91" s="104"/>
      <c r="AM91" s="110"/>
      <c r="AN91" s="105"/>
      <c r="AO91" s="110"/>
      <c r="AP91" s="105"/>
      <c r="AQ91" s="110"/>
      <c r="AR91" s="104"/>
      <c r="AS91" s="108"/>
      <c r="AT91" s="64"/>
      <c r="AU91" s="108"/>
      <c r="AV91" s="104"/>
      <c r="AW91" s="110"/>
      <c r="AX91" s="105"/>
      <c r="AY91" s="110"/>
      <c r="AZ91" s="105"/>
      <c r="BA91" s="110"/>
      <c r="BB91" s="106"/>
      <c r="BC91" s="109"/>
      <c r="BD91" s="65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66"/>
      <c r="AK92" s="107"/>
      <c r="AL92" s="104"/>
      <c r="AM92" s="105"/>
      <c r="AN92" s="105"/>
      <c r="AO92" s="105"/>
      <c r="AP92" s="105"/>
      <c r="AQ92" s="105"/>
      <c r="AR92" s="104"/>
      <c r="AS92" s="108"/>
      <c r="AT92" s="64"/>
      <c r="AU92" s="108"/>
      <c r="AV92" s="104"/>
      <c r="AW92" s="105"/>
      <c r="AX92" s="105"/>
      <c r="AY92" s="105"/>
      <c r="AZ92" s="105"/>
      <c r="BA92" s="105"/>
      <c r="BB92" s="106"/>
      <c r="BC92" s="109"/>
      <c r="BD92" s="65"/>
      <c r="BE92" s="2"/>
      <c r="BF92" s="2"/>
      <c r="BG92" s="7"/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66"/>
      <c r="AK93" s="107"/>
      <c r="AL93" s="104"/>
      <c r="AM93" s="105"/>
      <c r="AN93" s="105"/>
      <c r="AO93" s="105"/>
      <c r="AP93" s="105"/>
      <c r="AQ93" s="105"/>
      <c r="AR93" s="104"/>
      <c r="AS93" s="108"/>
      <c r="AT93" s="64"/>
      <c r="AU93" s="108"/>
      <c r="AV93" s="104"/>
      <c r="AW93" s="105"/>
      <c r="AX93" s="105"/>
      <c r="AY93" s="105"/>
      <c r="AZ93" s="105"/>
      <c r="BA93" s="105"/>
      <c r="BB93" s="106"/>
      <c r="BC93" s="109"/>
      <c r="BD93" s="65"/>
      <c r="BE93" s="2"/>
      <c r="BF93" s="2"/>
      <c r="BG93" s="7"/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66"/>
      <c r="AK94" s="107"/>
      <c r="AL94" s="104"/>
      <c r="AM94" s="105"/>
      <c r="AN94" s="105"/>
      <c r="AO94" s="105"/>
      <c r="AP94" s="105"/>
      <c r="AQ94" s="105"/>
      <c r="AR94" s="104"/>
      <c r="AS94" s="108"/>
      <c r="AT94" s="64"/>
      <c r="AU94" s="108"/>
      <c r="AV94" s="104"/>
      <c r="AW94" s="105"/>
      <c r="AX94" s="105"/>
      <c r="AY94" s="105"/>
      <c r="AZ94" s="105"/>
      <c r="BA94" s="105"/>
      <c r="BB94" s="106"/>
      <c r="BC94" s="109"/>
      <c r="BD94" s="65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66"/>
      <c r="AK95" s="107"/>
      <c r="AL95" s="104"/>
      <c r="AM95" s="82"/>
      <c r="AN95" s="105"/>
      <c r="AO95" s="82"/>
      <c r="AP95" s="105"/>
      <c r="AQ95" s="82"/>
      <c r="AR95" s="104"/>
      <c r="AS95" s="108"/>
      <c r="AT95" s="64"/>
      <c r="AU95" s="108"/>
      <c r="AV95" s="104"/>
      <c r="AW95" s="82"/>
      <c r="AX95" s="105"/>
      <c r="AY95" s="82"/>
      <c r="AZ95" s="105"/>
      <c r="BA95" s="82"/>
      <c r="BB95" s="106"/>
      <c r="BC95" s="109"/>
      <c r="BD95" s="65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66"/>
      <c r="AK96" s="107"/>
      <c r="AL96" s="104"/>
      <c r="AM96" s="110"/>
      <c r="AN96" s="105"/>
      <c r="AO96" s="110"/>
      <c r="AP96" s="105"/>
      <c r="AQ96" s="110"/>
      <c r="AR96" s="104"/>
      <c r="AS96" s="108"/>
      <c r="AT96" s="64"/>
      <c r="AU96" s="108"/>
      <c r="AV96" s="104"/>
      <c r="AW96" s="110"/>
      <c r="AX96" s="105"/>
      <c r="AY96" s="110"/>
      <c r="AZ96" s="105"/>
      <c r="BA96" s="110"/>
      <c r="BB96" s="106"/>
      <c r="BC96" s="109"/>
      <c r="BD96" s="65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6"/>
      <c r="AK97" s="107"/>
      <c r="AL97" s="104"/>
      <c r="AM97" s="105"/>
      <c r="AN97" s="105"/>
      <c r="AO97" s="105"/>
      <c r="AP97" s="105"/>
      <c r="AQ97" s="105"/>
      <c r="AR97" s="104"/>
      <c r="AS97" s="108"/>
      <c r="AT97" s="64"/>
      <c r="AU97" s="108"/>
      <c r="AV97" s="104"/>
      <c r="AW97" s="105"/>
      <c r="AX97" s="105"/>
      <c r="AY97" s="105"/>
      <c r="AZ97" s="105"/>
      <c r="BA97" s="105"/>
      <c r="BB97" s="106"/>
      <c r="BC97" s="109"/>
      <c r="BD97" s="65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6"/>
      <c r="AK98" s="107"/>
      <c r="AL98" s="104"/>
      <c r="AM98" s="105"/>
      <c r="AN98" s="105"/>
      <c r="AO98" s="105"/>
      <c r="AP98" s="105"/>
      <c r="AQ98" s="105"/>
      <c r="AR98" s="104"/>
      <c r="AS98" s="108"/>
      <c r="AT98" s="64"/>
      <c r="AU98" s="108"/>
      <c r="AV98" s="104"/>
      <c r="AW98" s="105"/>
      <c r="AX98" s="105"/>
      <c r="AY98" s="105"/>
      <c r="AZ98" s="105"/>
      <c r="BA98" s="105"/>
      <c r="BB98" s="106"/>
      <c r="BC98" s="109"/>
      <c r="BD98" s="65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6"/>
      <c r="AK99" s="107"/>
      <c r="AL99" s="104"/>
      <c r="AM99" s="105"/>
      <c r="AN99" s="105"/>
      <c r="AO99" s="105"/>
      <c r="AP99" s="105"/>
      <c r="AQ99" s="105"/>
      <c r="AR99" s="104"/>
      <c r="AS99" s="108"/>
      <c r="AT99" s="64"/>
      <c r="AU99" s="108"/>
      <c r="AV99" s="104"/>
      <c r="AW99" s="105"/>
      <c r="AX99" s="105"/>
      <c r="AY99" s="105"/>
      <c r="AZ99" s="105"/>
      <c r="BA99" s="105"/>
      <c r="BB99" s="106"/>
      <c r="BC99" s="109"/>
      <c r="BD99" s="65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66"/>
      <c r="AK100" s="107"/>
      <c r="AL100" s="104"/>
      <c r="AM100" s="82"/>
      <c r="AN100" s="104"/>
      <c r="AO100" s="82"/>
      <c r="AP100" s="104"/>
      <c r="AQ100" s="82"/>
      <c r="AR100" s="104"/>
      <c r="AS100" s="108"/>
      <c r="AT100" s="64"/>
      <c r="AU100" s="108"/>
      <c r="AV100" s="104"/>
      <c r="AW100" s="82"/>
      <c r="AX100" s="104"/>
      <c r="AY100" s="82"/>
      <c r="AZ100" s="104"/>
      <c r="BA100" s="82"/>
      <c r="BB100" s="106"/>
      <c r="BC100" s="109"/>
      <c r="BD100" s="65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66"/>
      <c r="AK101" s="107"/>
      <c r="AL101" s="104"/>
      <c r="AM101" s="112"/>
      <c r="AN101" s="104"/>
      <c r="AO101" s="112"/>
      <c r="AP101" s="104"/>
      <c r="AQ101" s="112"/>
      <c r="AR101" s="104"/>
      <c r="AS101" s="108"/>
      <c r="AT101" s="64"/>
      <c r="AU101" s="108"/>
      <c r="AV101" s="104"/>
      <c r="AW101" s="112"/>
      <c r="AX101" s="104"/>
      <c r="AY101" s="112"/>
      <c r="AZ101" s="104"/>
      <c r="BA101" s="112"/>
      <c r="BB101" s="106"/>
      <c r="BC101" s="109"/>
      <c r="BD101" s="65"/>
      <c r="BE101" s="2"/>
      <c r="BF101" s="2"/>
      <c r="BG101" s="7"/>
      <c r="BH101" s="2"/>
      <c r="BI101" s="2"/>
      <c r="BJ101" s="2"/>
      <c r="BK101" s="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66"/>
      <c r="AK102" s="107"/>
      <c r="AL102" s="104"/>
      <c r="AM102" s="104"/>
      <c r="AN102" s="104"/>
      <c r="AO102" s="104"/>
      <c r="AP102" s="104"/>
      <c r="AQ102" s="104"/>
      <c r="AR102" s="104"/>
      <c r="AS102" s="108"/>
      <c r="AT102" s="64"/>
      <c r="AU102" s="108"/>
      <c r="AV102" s="104"/>
      <c r="AW102" s="104"/>
      <c r="AX102" s="104"/>
      <c r="AY102" s="104"/>
      <c r="AZ102" s="104"/>
      <c r="BA102" s="104"/>
      <c r="BB102" s="106"/>
      <c r="BC102" s="109"/>
      <c r="BD102" s="65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66"/>
      <c r="AK103" s="107"/>
      <c r="AL103" s="104"/>
      <c r="AM103" s="104"/>
      <c r="AN103" s="104"/>
      <c r="AO103" s="104"/>
      <c r="AP103" s="104"/>
      <c r="AQ103" s="104"/>
      <c r="AR103" s="104"/>
      <c r="AS103" s="108"/>
      <c r="AT103" s="64"/>
      <c r="AU103" s="108"/>
      <c r="AV103" s="104"/>
      <c r="AW103" s="104"/>
      <c r="AX103" s="104"/>
      <c r="AY103" s="104"/>
      <c r="AZ103" s="104"/>
      <c r="BA103" s="104"/>
      <c r="BB103" s="106"/>
      <c r="BC103" s="109"/>
      <c r="BD103" s="65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66"/>
      <c r="AK104" s="107"/>
      <c r="AL104" s="104"/>
      <c r="AM104" s="104"/>
      <c r="AN104" s="104"/>
      <c r="AO104" s="104"/>
      <c r="AP104" s="104"/>
      <c r="AQ104" s="104"/>
      <c r="AR104" s="104"/>
      <c r="AS104" s="108"/>
      <c r="AT104" s="64"/>
      <c r="AU104" s="108"/>
      <c r="AV104" s="104"/>
      <c r="AW104" s="104"/>
      <c r="AX104" s="104"/>
      <c r="AY104" s="104"/>
      <c r="AZ104" s="104"/>
      <c r="BA104" s="104"/>
      <c r="BB104" s="106"/>
      <c r="BC104" s="109"/>
      <c r="BD104" s="65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66"/>
      <c r="AK105" s="107"/>
      <c r="AL105" s="104"/>
      <c r="AM105" s="82"/>
      <c r="AN105" s="104"/>
      <c r="AO105" s="82"/>
      <c r="AP105" s="104"/>
      <c r="AQ105" s="82"/>
      <c r="AR105" s="104"/>
      <c r="AS105" s="108"/>
      <c r="AT105" s="64"/>
      <c r="AU105" s="108"/>
      <c r="AV105" s="104"/>
      <c r="AW105" s="82"/>
      <c r="AX105" s="104"/>
      <c r="AY105" s="82"/>
      <c r="AZ105" s="104"/>
      <c r="BA105" s="82"/>
      <c r="BB105" s="106"/>
      <c r="BC105" s="109"/>
      <c r="BD105" s="65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66"/>
      <c r="AK106" s="107"/>
      <c r="AL106" s="104"/>
      <c r="AM106" s="112"/>
      <c r="AN106" s="104"/>
      <c r="AO106" s="112"/>
      <c r="AP106" s="104"/>
      <c r="AQ106" s="112"/>
      <c r="AR106" s="104"/>
      <c r="AS106" s="108"/>
      <c r="AT106" s="64"/>
      <c r="AU106" s="108"/>
      <c r="AV106" s="104"/>
      <c r="AW106" s="112"/>
      <c r="AX106" s="104"/>
      <c r="AY106" s="112"/>
      <c r="AZ106" s="104"/>
      <c r="BA106" s="112"/>
      <c r="BB106" s="106"/>
      <c r="BC106" s="109"/>
      <c r="BD106" s="65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66"/>
      <c r="AK107" s="107"/>
      <c r="AL107" s="104"/>
      <c r="AM107" s="104"/>
      <c r="AN107" s="104"/>
      <c r="AO107" s="104"/>
      <c r="AP107" s="104"/>
      <c r="AQ107" s="104"/>
      <c r="AR107" s="104"/>
      <c r="AS107" s="108"/>
      <c r="AT107" s="64"/>
      <c r="AU107" s="108"/>
      <c r="AV107" s="104"/>
      <c r="AW107" s="104"/>
      <c r="AX107" s="104"/>
      <c r="AY107" s="104"/>
      <c r="AZ107" s="104"/>
      <c r="BA107" s="104"/>
      <c r="BB107" s="106"/>
      <c r="BC107" s="109"/>
      <c r="BD107" s="65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66"/>
      <c r="AK108" s="107"/>
      <c r="AL108" s="104"/>
      <c r="AM108" s="104"/>
      <c r="AN108" s="104"/>
      <c r="AO108" s="104"/>
      <c r="AP108" s="104"/>
      <c r="AQ108" s="104"/>
      <c r="AR108" s="104"/>
      <c r="AS108" s="108"/>
      <c r="AT108" s="64"/>
      <c r="AU108" s="108"/>
      <c r="AV108" s="104"/>
      <c r="AW108" s="104"/>
      <c r="AX108" s="104"/>
      <c r="AY108" s="104"/>
      <c r="AZ108" s="104"/>
      <c r="BA108" s="104"/>
      <c r="BB108" s="106"/>
      <c r="BC108" s="109"/>
      <c r="BD108" s="65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66"/>
      <c r="AK109" s="107"/>
      <c r="AL109" s="104"/>
      <c r="AM109" s="104"/>
      <c r="AN109" s="104"/>
      <c r="AO109" s="104"/>
      <c r="AP109" s="104"/>
      <c r="AQ109" s="104"/>
      <c r="AR109" s="104"/>
      <c r="AS109" s="108"/>
      <c r="AT109" s="64"/>
      <c r="AU109" s="108"/>
      <c r="AV109" s="104"/>
      <c r="AW109" s="104"/>
      <c r="AX109" s="104"/>
      <c r="AY109" s="104"/>
      <c r="AZ109" s="104"/>
      <c r="BA109" s="104"/>
      <c r="BB109" s="106"/>
      <c r="BC109" s="109"/>
      <c r="BD109" s="65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66"/>
      <c r="AK110" s="107"/>
      <c r="AL110" s="104"/>
      <c r="AM110" s="82"/>
      <c r="AN110" s="104"/>
      <c r="AO110" s="82"/>
      <c r="AP110" s="104"/>
      <c r="AQ110" s="82"/>
      <c r="AR110" s="104"/>
      <c r="AS110" s="108"/>
      <c r="AT110" s="64"/>
      <c r="AU110" s="108"/>
      <c r="AV110" s="104"/>
      <c r="AW110" s="82"/>
      <c r="AX110" s="104"/>
      <c r="AY110" s="82"/>
      <c r="AZ110" s="104"/>
      <c r="BA110" s="82"/>
      <c r="BB110" s="106"/>
      <c r="BC110" s="109"/>
      <c r="BD110" s="65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66"/>
      <c r="AK111" s="107"/>
      <c r="AL111" s="104"/>
      <c r="AM111" s="112"/>
      <c r="AN111" s="104"/>
      <c r="AO111" s="112"/>
      <c r="AP111" s="104"/>
      <c r="AQ111" s="112"/>
      <c r="AR111" s="104"/>
      <c r="AS111" s="108"/>
      <c r="AT111" s="64"/>
      <c r="AU111" s="108"/>
      <c r="AV111" s="104"/>
      <c r="AW111" s="112"/>
      <c r="AX111" s="104"/>
      <c r="AY111" s="112"/>
      <c r="AZ111" s="104"/>
      <c r="BA111" s="112"/>
      <c r="BB111" s="106"/>
      <c r="BC111" s="109"/>
      <c r="BD111" s="65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66"/>
      <c r="AK112" s="107"/>
      <c r="AL112" s="104"/>
      <c r="AM112" s="104"/>
      <c r="AN112" s="104"/>
      <c r="AO112" s="104"/>
      <c r="AP112" s="104"/>
      <c r="AQ112" s="104"/>
      <c r="AR112" s="104"/>
      <c r="AS112" s="108"/>
      <c r="AT112" s="64"/>
      <c r="AU112" s="108"/>
      <c r="AV112" s="104"/>
      <c r="AW112" s="104"/>
      <c r="AX112" s="104"/>
      <c r="AY112" s="104"/>
      <c r="AZ112" s="104"/>
      <c r="BA112" s="104"/>
      <c r="BB112" s="106"/>
      <c r="BC112" s="109"/>
      <c r="BD112" s="65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66"/>
      <c r="AK113" s="107"/>
      <c r="AL113" s="104"/>
      <c r="AM113" s="105"/>
      <c r="AN113" s="104"/>
      <c r="AO113" s="105"/>
      <c r="AP113" s="104"/>
      <c r="AQ113" s="105"/>
      <c r="AR113" s="104"/>
      <c r="AS113" s="108"/>
      <c r="AT113" s="64"/>
      <c r="AU113" s="108"/>
      <c r="AV113" s="104"/>
      <c r="AW113" s="105"/>
      <c r="AX113" s="104"/>
      <c r="AY113" s="105"/>
      <c r="AZ113" s="104"/>
      <c r="BA113" s="105"/>
      <c r="BB113" s="106"/>
      <c r="BC113" s="109"/>
      <c r="BD113" s="65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66"/>
      <c r="AK114" s="107"/>
      <c r="AL114" s="104"/>
      <c r="AM114" s="104"/>
      <c r="AN114" s="104"/>
      <c r="AO114" s="104"/>
      <c r="AP114" s="104"/>
      <c r="AQ114" s="104"/>
      <c r="AR114" s="104"/>
      <c r="AS114" s="108"/>
      <c r="AT114" s="64"/>
      <c r="AU114" s="108"/>
      <c r="AV114" s="104"/>
      <c r="AW114" s="104"/>
      <c r="AX114" s="104"/>
      <c r="AY114" s="104"/>
      <c r="AZ114" s="104"/>
      <c r="BA114" s="104"/>
      <c r="BB114" s="106"/>
      <c r="BC114" s="109"/>
      <c r="BD114" s="65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66"/>
      <c r="AK115" s="107"/>
      <c r="AL115" s="104"/>
      <c r="AM115" s="113"/>
      <c r="AN115" s="104"/>
      <c r="AO115" s="113"/>
      <c r="AP115" s="104"/>
      <c r="AQ115" s="113"/>
      <c r="AR115" s="104"/>
      <c r="AS115" s="108"/>
      <c r="AT115" s="64"/>
      <c r="AU115" s="108"/>
      <c r="AV115" s="104"/>
      <c r="AW115" s="113"/>
      <c r="AX115" s="104"/>
      <c r="AY115" s="113"/>
      <c r="AZ115" s="104"/>
      <c r="BA115" s="113"/>
      <c r="BB115" s="106"/>
      <c r="BC115" s="109"/>
      <c r="BD115" s="65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66"/>
      <c r="AK116" s="107"/>
      <c r="AL116" s="104"/>
      <c r="AM116" s="112"/>
      <c r="AN116" s="104"/>
      <c r="AO116" s="112"/>
      <c r="AP116" s="104"/>
      <c r="AQ116" s="112"/>
      <c r="AR116" s="104"/>
      <c r="AS116" s="108"/>
      <c r="AT116" s="64"/>
      <c r="AU116" s="108"/>
      <c r="AV116" s="104"/>
      <c r="AW116" s="112"/>
      <c r="AX116" s="104"/>
      <c r="AY116" s="112"/>
      <c r="AZ116" s="104"/>
      <c r="BA116" s="112"/>
      <c r="BB116" s="106"/>
      <c r="BC116" s="109"/>
      <c r="BD116" s="65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66"/>
      <c r="AK117" s="107"/>
      <c r="AL117" s="104"/>
      <c r="AM117" s="104"/>
      <c r="AN117" s="104"/>
      <c r="AO117" s="104"/>
      <c r="AP117" s="104"/>
      <c r="AQ117" s="104"/>
      <c r="AR117" s="104"/>
      <c r="AS117" s="108"/>
      <c r="AT117" s="64"/>
      <c r="AU117" s="108"/>
      <c r="AV117" s="104"/>
      <c r="AW117" s="104"/>
      <c r="AX117" s="104"/>
      <c r="AY117" s="104"/>
      <c r="AZ117" s="104"/>
      <c r="BA117" s="104"/>
      <c r="BB117" s="106"/>
      <c r="BC117" s="109"/>
      <c r="BD117" s="65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03"/>
      <c r="AK118" s="98">
        <v>51</v>
      </c>
      <c r="AL118" s="99"/>
      <c r="AM118" s="100"/>
      <c r="AN118" s="99"/>
      <c r="AO118" s="100"/>
      <c r="AP118" s="99"/>
      <c r="AQ118" s="100"/>
      <c r="AR118" s="99"/>
      <c r="AS118" s="101">
        <v>51</v>
      </c>
      <c r="AT118" s="103"/>
      <c r="AU118" s="101">
        <v>51</v>
      </c>
      <c r="AV118" s="99"/>
      <c r="AW118" s="100"/>
      <c r="AX118" s="99"/>
      <c r="AY118" s="100"/>
      <c r="AZ118" s="99"/>
      <c r="BA118" s="100"/>
      <c r="BB118" s="101"/>
      <c r="BC118" s="102">
        <v>51</v>
      </c>
      <c r="BD118" s="103"/>
    </row>
    <row r="119" spans="28:64" x14ac:dyDescent="0.25">
      <c r="AJ119" s="103"/>
      <c r="AK119" s="98">
        <v>52</v>
      </c>
      <c r="AL119" s="99"/>
      <c r="AM119" s="99"/>
      <c r="AN119" s="99"/>
      <c r="AO119" s="99"/>
      <c r="AP119" s="99"/>
      <c r="AQ119" s="99"/>
      <c r="AR119" s="99"/>
      <c r="AS119" s="101">
        <v>52</v>
      </c>
      <c r="AT119" s="103"/>
      <c r="AU119" s="101">
        <v>52</v>
      </c>
      <c r="AV119" s="99"/>
      <c r="AW119" s="99"/>
      <c r="AX119" s="99"/>
      <c r="AY119" s="99"/>
      <c r="AZ119" s="99"/>
      <c r="BA119" s="99"/>
      <c r="BB119" s="101"/>
      <c r="BC119" s="102">
        <v>52</v>
      </c>
      <c r="BD119" s="103"/>
    </row>
    <row r="120" spans="28:64" x14ac:dyDescent="0.25">
      <c r="AJ120" s="103"/>
      <c r="AK120" s="98">
        <v>53</v>
      </c>
      <c r="AL120" s="99"/>
      <c r="AM120" s="99"/>
      <c r="AN120" s="99"/>
      <c r="AO120" s="99"/>
      <c r="AP120" s="99"/>
      <c r="AQ120" s="99"/>
      <c r="AR120" s="99"/>
      <c r="AS120" s="101">
        <v>53</v>
      </c>
      <c r="AT120" s="103"/>
      <c r="AU120" s="101">
        <v>53</v>
      </c>
      <c r="AV120" s="99"/>
      <c r="AW120" s="99"/>
      <c r="AX120" s="99"/>
      <c r="AY120" s="99"/>
      <c r="AZ120" s="99"/>
      <c r="BA120" s="99"/>
      <c r="BB120" s="101"/>
      <c r="BC120" s="102">
        <v>53</v>
      </c>
      <c r="BD120" s="103"/>
    </row>
    <row r="121" spans="28:64" x14ac:dyDescent="0.25">
      <c r="AJ121" s="103"/>
      <c r="AK121" s="98">
        <v>54</v>
      </c>
      <c r="AL121" s="99"/>
      <c r="AM121" s="100"/>
      <c r="AN121" s="99"/>
      <c r="AO121" s="100"/>
      <c r="AP121" s="99"/>
      <c r="AQ121" s="100"/>
      <c r="AR121" s="99"/>
      <c r="AS121" s="101">
        <v>54</v>
      </c>
      <c r="AT121" s="103"/>
      <c r="AU121" s="101">
        <v>54</v>
      </c>
      <c r="AV121" s="99"/>
      <c r="AW121" s="100"/>
      <c r="AX121" s="99"/>
      <c r="AY121" s="100"/>
      <c r="AZ121" s="99"/>
      <c r="BA121" s="100"/>
      <c r="BB121" s="101"/>
      <c r="BC121" s="102">
        <v>54</v>
      </c>
      <c r="BD121" s="103"/>
    </row>
    <row r="122" spans="28:64" x14ac:dyDescent="0.25">
      <c r="AJ122" s="103"/>
      <c r="AK122" s="98">
        <v>55</v>
      </c>
      <c r="AL122" s="99"/>
      <c r="AM122" s="99"/>
      <c r="AN122" s="99"/>
      <c r="AO122" s="99"/>
      <c r="AP122" s="99"/>
      <c r="AQ122" s="99"/>
      <c r="AR122" s="99"/>
      <c r="AS122" s="101">
        <v>55</v>
      </c>
      <c r="AT122" s="103"/>
      <c r="AU122" s="101">
        <v>55</v>
      </c>
      <c r="AV122" s="99"/>
      <c r="AW122" s="99"/>
      <c r="AX122" s="99"/>
      <c r="AY122" s="99"/>
      <c r="AZ122" s="99"/>
      <c r="BA122" s="99"/>
      <c r="BB122" s="101"/>
      <c r="BC122" s="102">
        <v>55</v>
      </c>
      <c r="BD122" s="103"/>
    </row>
    <row r="123" spans="28:64" x14ac:dyDescent="0.25">
      <c r="AJ123" s="103"/>
      <c r="AK123" s="98">
        <v>56</v>
      </c>
      <c r="AL123" s="99"/>
      <c r="AM123" s="99"/>
      <c r="AN123" s="99"/>
      <c r="AO123" s="99"/>
      <c r="AP123" s="99"/>
      <c r="AQ123" s="99"/>
      <c r="AR123" s="99"/>
      <c r="AS123" s="101">
        <v>56</v>
      </c>
      <c r="AT123" s="103"/>
      <c r="AU123" s="101">
        <v>56</v>
      </c>
      <c r="AV123" s="99"/>
      <c r="AW123" s="99"/>
      <c r="AX123" s="99"/>
      <c r="AY123" s="99"/>
      <c r="AZ123" s="99"/>
      <c r="BA123" s="99"/>
      <c r="BB123" s="101"/>
      <c r="BC123" s="102">
        <v>56</v>
      </c>
      <c r="BD123" s="103"/>
    </row>
    <row r="124" spans="28:64" x14ac:dyDescent="0.25">
      <c r="AJ124" s="103"/>
      <c r="AK124" s="98">
        <v>57</v>
      </c>
      <c r="AL124" s="99"/>
      <c r="AM124" s="99"/>
      <c r="AN124" s="99"/>
      <c r="AO124" s="99"/>
      <c r="AP124" s="99"/>
      <c r="AQ124" s="99"/>
      <c r="AR124" s="99"/>
      <c r="AS124" s="101">
        <v>57</v>
      </c>
      <c r="AT124" s="103"/>
      <c r="AU124" s="101">
        <v>57</v>
      </c>
      <c r="AV124" s="99"/>
      <c r="AW124" s="99"/>
      <c r="AX124" s="99"/>
      <c r="AY124" s="99"/>
      <c r="AZ124" s="99"/>
      <c r="BA124" s="99"/>
      <c r="BB124" s="101"/>
      <c r="BC124" s="102">
        <v>57</v>
      </c>
      <c r="BD124" s="103"/>
    </row>
    <row r="125" spans="28:64" x14ac:dyDescent="0.25">
      <c r="AJ125" s="103"/>
      <c r="AK125" s="98">
        <v>58</v>
      </c>
      <c r="AL125" s="99"/>
      <c r="AM125" s="99"/>
      <c r="AN125" s="99"/>
      <c r="AO125" s="99"/>
      <c r="AP125" s="99"/>
      <c r="AQ125" s="99"/>
      <c r="AR125" s="99"/>
      <c r="AS125" s="101">
        <v>58</v>
      </c>
      <c r="AT125" s="103"/>
      <c r="AU125" s="101">
        <v>58</v>
      </c>
      <c r="AV125" s="99"/>
      <c r="AW125" s="99"/>
      <c r="AX125" s="99"/>
      <c r="AY125" s="99"/>
      <c r="AZ125" s="99"/>
      <c r="BA125" s="99"/>
      <c r="BB125" s="101"/>
      <c r="BC125" s="102">
        <v>58</v>
      </c>
      <c r="BD125" s="103"/>
    </row>
    <row r="126" spans="28:64" x14ac:dyDescent="0.25">
      <c r="AJ126" s="103"/>
      <c r="AK126" s="98">
        <v>59</v>
      </c>
      <c r="AL126" s="99"/>
      <c r="AM126" s="100"/>
      <c r="AN126" s="99"/>
      <c r="AO126" s="100"/>
      <c r="AP126" s="99"/>
      <c r="AQ126" s="100"/>
      <c r="AR126" s="99"/>
      <c r="AS126" s="101">
        <v>59</v>
      </c>
      <c r="AT126" s="103"/>
      <c r="AU126" s="101">
        <v>59</v>
      </c>
      <c r="AV126" s="99"/>
      <c r="AW126" s="100"/>
      <c r="AX126" s="99"/>
      <c r="AY126" s="100"/>
      <c r="AZ126" s="99"/>
      <c r="BA126" s="100"/>
      <c r="BB126" s="101"/>
      <c r="BC126" s="102">
        <v>59</v>
      </c>
      <c r="BD126" s="103"/>
    </row>
    <row r="127" spans="28:64" x14ac:dyDescent="0.25">
      <c r="AJ127" s="103"/>
      <c r="AK127" s="98">
        <v>60</v>
      </c>
      <c r="AL127" s="99"/>
      <c r="AM127" s="99"/>
      <c r="AN127" s="99"/>
      <c r="AO127" s="99"/>
      <c r="AP127" s="99"/>
      <c r="AQ127" s="99"/>
      <c r="AR127" s="99"/>
      <c r="AS127" s="101">
        <v>60</v>
      </c>
      <c r="AT127" s="103"/>
      <c r="AU127" s="101">
        <v>60</v>
      </c>
      <c r="AV127" s="99"/>
      <c r="AW127" s="99"/>
      <c r="AX127" s="99"/>
      <c r="AY127" s="99"/>
      <c r="AZ127" s="99"/>
      <c r="BA127" s="99"/>
      <c r="BB127" s="101"/>
      <c r="BC127" s="102">
        <v>60</v>
      </c>
      <c r="BD127" s="103"/>
    </row>
    <row r="128" spans="28:64" x14ac:dyDescent="0.25">
      <c r="AJ128" s="103"/>
      <c r="AK128" s="98">
        <v>61</v>
      </c>
      <c r="AL128" s="99"/>
      <c r="AM128" s="99"/>
      <c r="AN128" s="99"/>
      <c r="AO128" s="99"/>
      <c r="AP128" s="99"/>
      <c r="AQ128" s="99"/>
      <c r="AR128" s="99"/>
      <c r="AS128" s="101">
        <v>61</v>
      </c>
      <c r="AT128" s="103"/>
      <c r="AU128" s="101">
        <v>61</v>
      </c>
      <c r="AV128" s="99"/>
      <c r="AW128" s="99"/>
      <c r="AX128" s="99"/>
      <c r="AY128" s="99"/>
      <c r="AZ128" s="99"/>
      <c r="BA128" s="99"/>
      <c r="BB128" s="101"/>
      <c r="BC128" s="102">
        <v>61</v>
      </c>
      <c r="BD128" s="103"/>
    </row>
    <row r="129" spans="36:56" x14ac:dyDescent="0.25">
      <c r="AJ129" s="103"/>
      <c r="AK129" s="98">
        <v>62</v>
      </c>
      <c r="AL129" s="99"/>
      <c r="AM129" s="100"/>
      <c r="AN129" s="99"/>
      <c r="AO129" s="100"/>
      <c r="AP129" s="99"/>
      <c r="AQ129" s="100"/>
      <c r="AR129" s="99"/>
      <c r="AS129" s="101">
        <v>62</v>
      </c>
      <c r="AT129" s="103"/>
      <c r="AU129" s="101">
        <v>62</v>
      </c>
      <c r="AV129" s="99"/>
      <c r="AW129" s="100"/>
      <c r="AX129" s="99"/>
      <c r="AY129" s="100"/>
      <c r="AZ129" s="99"/>
      <c r="BA129" s="100"/>
      <c r="BB129" s="101"/>
      <c r="BC129" s="102">
        <v>62</v>
      </c>
      <c r="BD129" s="103"/>
    </row>
    <row r="130" spans="36:56" x14ac:dyDescent="0.25">
      <c r="AJ130" s="103"/>
      <c r="AK130" s="98">
        <v>63</v>
      </c>
      <c r="AL130" s="99"/>
      <c r="AM130" s="99"/>
      <c r="AN130" s="99"/>
      <c r="AO130" s="99"/>
      <c r="AP130" s="99"/>
      <c r="AQ130" s="99"/>
      <c r="AR130" s="99"/>
      <c r="AS130" s="101">
        <v>63</v>
      </c>
      <c r="AT130" s="103"/>
      <c r="AU130" s="101">
        <v>63</v>
      </c>
      <c r="AV130" s="99"/>
      <c r="AW130" s="99"/>
      <c r="AX130" s="99"/>
      <c r="AY130" s="99"/>
      <c r="AZ130" s="99"/>
      <c r="BA130" s="99"/>
      <c r="BB130" s="101"/>
      <c r="BC130" s="102">
        <v>63</v>
      </c>
      <c r="BD130" s="103"/>
    </row>
    <row r="131" spans="36:56" x14ac:dyDescent="0.25">
      <c r="AJ131" s="103"/>
      <c r="AK131" s="98">
        <v>64</v>
      </c>
      <c r="AL131" s="99"/>
      <c r="AM131" s="99"/>
      <c r="AN131" s="99"/>
      <c r="AO131" s="99"/>
      <c r="AP131" s="99"/>
      <c r="AQ131" s="99"/>
      <c r="AR131" s="99"/>
      <c r="AS131" s="101">
        <v>64</v>
      </c>
      <c r="AT131" s="103"/>
      <c r="AU131" s="101">
        <v>64</v>
      </c>
      <c r="AV131" s="99"/>
      <c r="AW131" s="99"/>
      <c r="AX131" s="99"/>
      <c r="AY131" s="99"/>
      <c r="AZ131" s="99"/>
      <c r="BA131" s="99"/>
      <c r="BB131" s="101"/>
      <c r="BC131" s="102">
        <v>64</v>
      </c>
      <c r="BD131" s="103"/>
    </row>
    <row r="132" spans="36:56" x14ac:dyDescent="0.25">
      <c r="AJ132" s="103"/>
      <c r="AK132" s="98">
        <v>65</v>
      </c>
      <c r="AL132" s="99"/>
      <c r="AM132" s="99"/>
      <c r="AN132" s="99"/>
      <c r="AO132" s="99"/>
      <c r="AP132" s="99"/>
      <c r="AQ132" s="99"/>
      <c r="AR132" s="99"/>
      <c r="AS132" s="101">
        <v>65</v>
      </c>
      <c r="AT132" s="103"/>
      <c r="AU132" s="101">
        <v>65</v>
      </c>
      <c r="AV132" s="99"/>
      <c r="AW132" s="99"/>
      <c r="AX132" s="99"/>
      <c r="AY132" s="99"/>
      <c r="AZ132" s="99"/>
      <c r="BA132" s="99"/>
      <c r="BB132" s="101"/>
      <c r="BC132" s="102">
        <v>65</v>
      </c>
      <c r="BD132" s="103"/>
    </row>
    <row r="133" spans="36:56" x14ac:dyDescent="0.25">
      <c r="AJ133" s="103"/>
      <c r="AK133" s="98">
        <v>66</v>
      </c>
      <c r="AL133" s="99"/>
      <c r="AM133" s="99"/>
      <c r="AN133" s="99"/>
      <c r="AO133" s="99"/>
      <c r="AP133" s="99"/>
      <c r="AQ133" s="99"/>
      <c r="AR133" s="99"/>
      <c r="AS133" s="101">
        <v>66</v>
      </c>
      <c r="AT133" s="103"/>
      <c r="AU133" s="101">
        <v>66</v>
      </c>
      <c r="AV133" s="99"/>
      <c r="AW133" s="99"/>
      <c r="AX133" s="99"/>
      <c r="AY133" s="99"/>
      <c r="AZ133" s="99"/>
      <c r="BA133" s="99"/>
      <c r="BB133" s="101"/>
      <c r="BC133" s="102">
        <v>66</v>
      </c>
      <c r="BD133" s="103"/>
    </row>
    <row r="134" spans="36:56" x14ac:dyDescent="0.25">
      <c r="AJ134" s="103"/>
      <c r="AK134" s="98">
        <v>67</v>
      </c>
      <c r="AL134" s="99"/>
      <c r="AM134" s="100"/>
      <c r="AN134" s="99"/>
      <c r="AO134" s="100"/>
      <c r="AP134" s="99"/>
      <c r="AQ134" s="100"/>
      <c r="AR134" s="99"/>
      <c r="AS134" s="101">
        <v>67</v>
      </c>
      <c r="AT134" s="103"/>
      <c r="AU134" s="101">
        <v>67</v>
      </c>
      <c r="AV134" s="99"/>
      <c r="AW134" s="100"/>
      <c r="AX134" s="99"/>
      <c r="AY134" s="100"/>
      <c r="AZ134" s="99"/>
      <c r="BA134" s="100"/>
      <c r="BB134" s="101"/>
      <c r="BC134" s="102">
        <v>67</v>
      </c>
      <c r="BD134" s="103"/>
    </row>
    <row r="135" spans="36:56" x14ac:dyDescent="0.25">
      <c r="AJ135" s="103"/>
      <c r="AK135" s="98">
        <v>68</v>
      </c>
      <c r="AL135" s="99"/>
      <c r="AM135" s="99"/>
      <c r="AN135" s="99"/>
      <c r="AO135" s="99"/>
      <c r="AP135" s="99"/>
      <c r="AQ135" s="99"/>
      <c r="AR135" s="99"/>
      <c r="AS135" s="101">
        <v>68</v>
      </c>
      <c r="AT135" s="103"/>
      <c r="AU135" s="101">
        <v>68</v>
      </c>
      <c r="AV135" s="99"/>
      <c r="AW135" s="99"/>
      <c r="AX135" s="99"/>
      <c r="AY135" s="99"/>
      <c r="AZ135" s="99"/>
      <c r="BA135" s="99"/>
      <c r="BB135" s="101"/>
      <c r="BC135" s="102">
        <v>68</v>
      </c>
      <c r="BD135" s="103"/>
    </row>
    <row r="136" spans="36:56" x14ac:dyDescent="0.25">
      <c r="AJ136" s="103"/>
      <c r="AK136" s="98">
        <v>69</v>
      </c>
      <c r="AL136" s="99"/>
      <c r="AM136" s="99"/>
      <c r="AN136" s="99"/>
      <c r="AO136" s="99"/>
      <c r="AP136" s="99"/>
      <c r="AQ136" s="99"/>
      <c r="AR136" s="99"/>
      <c r="AS136" s="101">
        <v>69</v>
      </c>
      <c r="AT136" s="103"/>
      <c r="AU136" s="101">
        <v>69</v>
      </c>
      <c r="AV136" s="99"/>
      <c r="AW136" s="99"/>
      <c r="AX136" s="99"/>
      <c r="AY136" s="99"/>
      <c r="AZ136" s="99"/>
      <c r="BA136" s="99"/>
      <c r="BB136" s="101"/>
      <c r="BC136" s="102">
        <v>69</v>
      </c>
      <c r="BD136" s="103"/>
    </row>
    <row r="137" spans="36:56" x14ac:dyDescent="0.25">
      <c r="AJ137" s="103"/>
      <c r="AK137" s="98">
        <v>70</v>
      </c>
      <c r="AL137" s="99"/>
      <c r="AM137" s="100"/>
      <c r="AN137" s="99"/>
      <c r="AO137" s="100"/>
      <c r="AP137" s="99"/>
      <c r="AQ137" s="100"/>
      <c r="AR137" s="99"/>
      <c r="AS137" s="101">
        <v>70</v>
      </c>
      <c r="AT137" s="103"/>
      <c r="AU137" s="101">
        <v>70</v>
      </c>
      <c r="AV137" s="99"/>
      <c r="AW137" s="100"/>
      <c r="AX137" s="99"/>
      <c r="AY137" s="100"/>
      <c r="AZ137" s="99"/>
      <c r="BA137" s="100"/>
      <c r="BB137" s="101"/>
      <c r="BC137" s="102">
        <v>70</v>
      </c>
      <c r="BD137" s="103"/>
    </row>
    <row r="138" spans="36:56" x14ac:dyDescent="0.25">
      <c r="AJ138" s="103"/>
      <c r="AK138" s="98">
        <v>71</v>
      </c>
      <c r="AL138" s="99"/>
      <c r="AM138" s="99"/>
      <c r="AN138" s="99"/>
      <c r="AO138" s="99"/>
      <c r="AP138" s="99"/>
      <c r="AQ138" s="99"/>
      <c r="AR138" s="99"/>
      <c r="AS138" s="101">
        <v>71</v>
      </c>
      <c r="AT138" s="103"/>
      <c r="AU138" s="101">
        <v>71</v>
      </c>
      <c r="AV138" s="99"/>
      <c r="AW138" s="99"/>
      <c r="AX138" s="99"/>
      <c r="AY138" s="99"/>
      <c r="AZ138" s="99"/>
      <c r="BA138" s="99"/>
      <c r="BB138" s="101"/>
      <c r="BC138" s="102">
        <v>71</v>
      </c>
      <c r="BD138" s="103"/>
    </row>
    <row r="139" spans="36:56" x14ac:dyDescent="0.25">
      <c r="AJ139" s="103"/>
      <c r="AK139" s="98">
        <v>72</v>
      </c>
      <c r="AL139" s="99"/>
      <c r="AM139" s="99"/>
      <c r="AN139" s="99"/>
      <c r="AO139" s="99"/>
      <c r="AP139" s="99"/>
      <c r="AQ139" s="99"/>
      <c r="AR139" s="99"/>
      <c r="AS139" s="101">
        <v>72</v>
      </c>
      <c r="AT139" s="103"/>
      <c r="AU139" s="101">
        <v>72</v>
      </c>
      <c r="AV139" s="99"/>
      <c r="AW139" s="99"/>
      <c r="AX139" s="99"/>
      <c r="AY139" s="99"/>
      <c r="AZ139" s="99"/>
      <c r="BA139" s="99"/>
      <c r="BB139" s="101"/>
      <c r="BC139" s="102">
        <v>72</v>
      </c>
      <c r="BD139" s="103"/>
    </row>
    <row r="140" spans="36:56" x14ac:dyDescent="0.25">
      <c r="AJ140" s="103"/>
      <c r="AK140" s="98">
        <v>73</v>
      </c>
      <c r="AL140" s="99"/>
      <c r="AM140" s="99"/>
      <c r="AN140" s="99"/>
      <c r="AO140" s="99"/>
      <c r="AP140" s="99"/>
      <c r="AQ140" s="99"/>
      <c r="AR140" s="99"/>
      <c r="AS140" s="101">
        <v>73</v>
      </c>
      <c r="AT140" s="103"/>
      <c r="AU140" s="101">
        <v>73</v>
      </c>
      <c r="AV140" s="99"/>
      <c r="AW140" s="99"/>
      <c r="AX140" s="99"/>
      <c r="AY140" s="99"/>
      <c r="AZ140" s="99"/>
      <c r="BA140" s="99"/>
      <c r="BB140" s="101"/>
      <c r="BC140" s="102">
        <v>73</v>
      </c>
      <c r="BD140" s="103"/>
    </row>
    <row r="141" spans="36:56" x14ac:dyDescent="0.25">
      <c r="AJ141" s="103"/>
      <c r="AK141" s="98">
        <v>74</v>
      </c>
      <c r="AL141" s="99"/>
      <c r="AM141" s="99"/>
      <c r="AN141" s="99"/>
      <c r="AO141" s="99"/>
      <c r="AP141" s="99"/>
      <c r="AQ141" s="99"/>
      <c r="AR141" s="99"/>
      <c r="AS141" s="101">
        <v>74</v>
      </c>
      <c r="AT141" s="103"/>
      <c r="AU141" s="101">
        <v>74</v>
      </c>
      <c r="AV141" s="99"/>
      <c r="AW141" s="99"/>
      <c r="AX141" s="99"/>
      <c r="AY141" s="99"/>
      <c r="AZ141" s="99"/>
      <c r="BA141" s="99"/>
      <c r="BB141" s="101"/>
      <c r="BC141" s="102">
        <v>74</v>
      </c>
      <c r="BD141" s="103"/>
    </row>
    <row r="142" spans="36:56" x14ac:dyDescent="0.25">
      <c r="AJ142" s="103"/>
      <c r="AK142" s="98">
        <v>75</v>
      </c>
      <c r="AL142" s="99"/>
      <c r="AM142" s="100"/>
      <c r="AN142" s="99"/>
      <c r="AO142" s="100"/>
      <c r="AP142" s="99"/>
      <c r="AQ142" s="100"/>
      <c r="AR142" s="99"/>
      <c r="AS142" s="101">
        <v>75</v>
      </c>
      <c r="AT142" s="103"/>
      <c r="AU142" s="101">
        <v>75</v>
      </c>
      <c r="AV142" s="99"/>
      <c r="AW142" s="100"/>
      <c r="AX142" s="99"/>
      <c r="AY142" s="100"/>
      <c r="AZ142" s="99"/>
      <c r="BA142" s="100"/>
      <c r="BB142" s="101"/>
      <c r="BC142" s="102">
        <v>75</v>
      </c>
      <c r="BD142" s="103"/>
    </row>
    <row r="143" spans="36:56" x14ac:dyDescent="0.25">
      <c r="AJ143" s="103"/>
      <c r="AK143" s="98">
        <v>76</v>
      </c>
      <c r="AL143" s="99"/>
      <c r="AM143" s="99"/>
      <c r="AN143" s="99"/>
      <c r="AO143" s="99"/>
      <c r="AP143" s="99"/>
      <c r="AQ143" s="99"/>
      <c r="AR143" s="99"/>
      <c r="AS143" s="101">
        <v>76</v>
      </c>
      <c r="AT143" s="103"/>
      <c r="AU143" s="101">
        <v>76</v>
      </c>
      <c r="AV143" s="99"/>
      <c r="AW143" s="99"/>
      <c r="AX143" s="99"/>
      <c r="AY143" s="99"/>
      <c r="AZ143" s="99"/>
      <c r="BA143" s="99"/>
      <c r="BB143" s="101"/>
      <c r="BC143" s="102">
        <v>76</v>
      </c>
      <c r="BD143" s="103"/>
    </row>
    <row r="144" spans="36:56" x14ac:dyDescent="0.25">
      <c r="AJ144" s="103"/>
      <c r="AK144" s="98">
        <v>77</v>
      </c>
      <c r="AL144" s="99"/>
      <c r="AM144" s="99"/>
      <c r="AN144" s="99"/>
      <c r="AO144" s="99"/>
      <c r="AP144" s="99"/>
      <c r="AQ144" s="99"/>
      <c r="AR144" s="99"/>
      <c r="AS144" s="101">
        <v>77</v>
      </c>
      <c r="AT144" s="103"/>
      <c r="AU144" s="101">
        <v>77</v>
      </c>
      <c r="AV144" s="99"/>
      <c r="AW144" s="99"/>
      <c r="AX144" s="99"/>
      <c r="AY144" s="99"/>
      <c r="AZ144" s="99"/>
      <c r="BA144" s="99"/>
      <c r="BB144" s="101"/>
      <c r="BC144" s="102">
        <v>77</v>
      </c>
      <c r="BD144" s="103"/>
    </row>
    <row r="145" spans="36:56" x14ac:dyDescent="0.25">
      <c r="AJ145" s="103"/>
      <c r="AK145" s="98">
        <v>78</v>
      </c>
      <c r="AL145" s="99"/>
      <c r="AM145" s="100"/>
      <c r="AN145" s="99"/>
      <c r="AO145" s="100"/>
      <c r="AP145" s="99"/>
      <c r="AQ145" s="100"/>
      <c r="AR145" s="99"/>
      <c r="AS145" s="101">
        <v>78</v>
      </c>
      <c r="AT145" s="103"/>
      <c r="AU145" s="101">
        <v>78</v>
      </c>
      <c r="AV145" s="99"/>
      <c r="AW145" s="100"/>
      <c r="AX145" s="99"/>
      <c r="AY145" s="100"/>
      <c r="AZ145" s="99"/>
      <c r="BA145" s="100"/>
      <c r="BB145" s="101"/>
      <c r="BC145" s="102">
        <v>78</v>
      </c>
      <c r="BD145" s="103"/>
    </row>
    <row r="146" spans="36:56" x14ac:dyDescent="0.25">
      <c r="AJ146" s="103"/>
      <c r="AK146" s="98">
        <v>79</v>
      </c>
      <c r="AL146" s="99"/>
      <c r="AM146" s="99"/>
      <c r="AN146" s="99"/>
      <c r="AO146" s="99"/>
      <c r="AP146" s="99"/>
      <c r="AQ146" s="99"/>
      <c r="AR146" s="99"/>
      <c r="AS146" s="101">
        <v>79</v>
      </c>
      <c r="AT146" s="103"/>
      <c r="AU146" s="101">
        <v>79</v>
      </c>
      <c r="AV146" s="99"/>
      <c r="AW146" s="99"/>
      <c r="AX146" s="99"/>
      <c r="AY146" s="99"/>
      <c r="AZ146" s="99"/>
      <c r="BA146" s="99"/>
      <c r="BB146" s="101"/>
      <c r="BC146" s="102">
        <v>79</v>
      </c>
      <c r="BD146" s="103"/>
    </row>
    <row r="147" spans="36:56" x14ac:dyDescent="0.25">
      <c r="AJ147" s="103"/>
      <c r="AK147" s="98">
        <v>80</v>
      </c>
      <c r="AL147" s="99"/>
      <c r="AM147" s="99"/>
      <c r="AN147" s="99"/>
      <c r="AO147" s="99"/>
      <c r="AP147" s="99"/>
      <c r="AQ147" s="99"/>
      <c r="AR147" s="99"/>
      <c r="AS147" s="101">
        <v>80</v>
      </c>
      <c r="AT147" s="103"/>
      <c r="AU147" s="101">
        <v>80</v>
      </c>
      <c r="AV147" s="99"/>
      <c r="AW147" s="99"/>
      <c r="AX147" s="99"/>
      <c r="AY147" s="99"/>
      <c r="AZ147" s="99"/>
      <c r="BA147" s="99"/>
      <c r="BB147" s="101"/>
      <c r="BC147" s="102">
        <v>80</v>
      </c>
      <c r="BD147" s="103"/>
    </row>
    <row r="148" spans="36:56" x14ac:dyDescent="0.25">
      <c r="AJ148" s="103"/>
      <c r="AK148" s="98">
        <v>81</v>
      </c>
      <c r="AL148" s="99"/>
      <c r="AM148" s="99"/>
      <c r="AN148" s="99"/>
      <c r="AO148" s="99"/>
      <c r="AP148" s="99"/>
      <c r="AQ148" s="99"/>
      <c r="AR148" s="99"/>
      <c r="AS148" s="101">
        <v>81</v>
      </c>
      <c r="AT148" s="103"/>
      <c r="AU148" s="101">
        <v>81</v>
      </c>
      <c r="AV148" s="99"/>
      <c r="AW148" s="99"/>
      <c r="AX148" s="99"/>
      <c r="AY148" s="99"/>
      <c r="AZ148" s="99"/>
      <c r="BA148" s="99"/>
      <c r="BB148" s="101"/>
      <c r="BC148" s="102">
        <v>81</v>
      </c>
      <c r="BD148" s="103"/>
    </row>
    <row r="149" spans="36:56" x14ac:dyDescent="0.25">
      <c r="AJ149" s="103"/>
      <c r="AK149" s="98">
        <v>82</v>
      </c>
      <c r="AL149" s="99"/>
      <c r="AM149" s="99"/>
      <c r="AN149" s="99"/>
      <c r="AO149" s="99"/>
      <c r="AP149" s="99"/>
      <c r="AQ149" s="99"/>
      <c r="AR149" s="99"/>
      <c r="AS149" s="101">
        <v>82</v>
      </c>
      <c r="AT149" s="103"/>
      <c r="AU149" s="101">
        <v>82</v>
      </c>
      <c r="AV149" s="99"/>
      <c r="AW149" s="99"/>
      <c r="AX149" s="99"/>
      <c r="AY149" s="99"/>
      <c r="AZ149" s="99"/>
      <c r="BA149" s="99"/>
      <c r="BB149" s="101"/>
      <c r="BC149" s="102">
        <v>82</v>
      </c>
      <c r="BD149" s="103"/>
    </row>
    <row r="150" spans="36:56" x14ac:dyDescent="0.25">
      <c r="AJ150" s="103"/>
      <c r="AK150" s="98">
        <v>83</v>
      </c>
      <c r="AL150" s="99"/>
      <c r="AM150" s="100"/>
      <c r="AN150" s="99"/>
      <c r="AO150" s="100"/>
      <c r="AP150" s="99"/>
      <c r="AQ150" s="100"/>
      <c r="AR150" s="99"/>
      <c r="AS150" s="101">
        <v>83</v>
      </c>
      <c r="AT150" s="103"/>
      <c r="AU150" s="101">
        <v>83</v>
      </c>
      <c r="AV150" s="99"/>
      <c r="AW150" s="100"/>
      <c r="AX150" s="99"/>
      <c r="AY150" s="100"/>
      <c r="AZ150" s="99"/>
      <c r="BA150" s="100"/>
      <c r="BB150" s="101"/>
      <c r="BC150" s="102">
        <v>83</v>
      </c>
      <c r="BD150" s="103"/>
    </row>
    <row r="151" spans="36:56" x14ac:dyDescent="0.25">
      <c r="AJ151" s="103"/>
      <c r="AK151" s="98">
        <v>84</v>
      </c>
      <c r="AL151" s="99"/>
      <c r="AM151" s="99"/>
      <c r="AN151" s="99"/>
      <c r="AO151" s="99"/>
      <c r="AP151" s="99"/>
      <c r="AQ151" s="99"/>
      <c r="AR151" s="99"/>
      <c r="AS151" s="101">
        <v>84</v>
      </c>
      <c r="AT151" s="103"/>
      <c r="AU151" s="101">
        <v>84</v>
      </c>
      <c r="AV151" s="99"/>
      <c r="AW151" s="99"/>
      <c r="AX151" s="99"/>
      <c r="AY151" s="99"/>
      <c r="AZ151" s="99"/>
      <c r="BA151" s="99"/>
      <c r="BB151" s="101"/>
      <c r="BC151" s="102">
        <v>84</v>
      </c>
      <c r="BD151" s="103"/>
    </row>
    <row r="152" spans="36:56" x14ac:dyDescent="0.25">
      <c r="AJ152" s="103"/>
      <c r="AK152" s="98">
        <v>85</v>
      </c>
      <c r="AL152" s="99"/>
      <c r="AM152" s="99"/>
      <c r="AN152" s="99"/>
      <c r="AO152" s="99"/>
      <c r="AP152" s="99"/>
      <c r="AQ152" s="99"/>
      <c r="AR152" s="99"/>
      <c r="AS152" s="101">
        <v>85</v>
      </c>
      <c r="AT152" s="103"/>
      <c r="AU152" s="101">
        <v>85</v>
      </c>
      <c r="AV152" s="99"/>
      <c r="AW152" s="99"/>
      <c r="AX152" s="99"/>
      <c r="AY152" s="99"/>
      <c r="AZ152" s="99"/>
      <c r="BA152" s="99"/>
      <c r="BB152" s="101"/>
      <c r="BC152" s="102">
        <v>85</v>
      </c>
      <c r="BD152" s="103"/>
    </row>
    <row r="153" spans="36:56" x14ac:dyDescent="0.25">
      <c r="AJ153" s="103"/>
      <c r="AK153" s="98">
        <v>86</v>
      </c>
      <c r="AL153" s="99"/>
      <c r="AM153" s="100"/>
      <c r="AN153" s="99"/>
      <c r="AO153" s="100"/>
      <c r="AP153" s="99"/>
      <c r="AQ153" s="100"/>
      <c r="AR153" s="99"/>
      <c r="AS153" s="101">
        <v>86</v>
      </c>
      <c r="AT153" s="103"/>
      <c r="AU153" s="101">
        <v>86</v>
      </c>
      <c r="AV153" s="99"/>
      <c r="AW153" s="100"/>
      <c r="AX153" s="99"/>
      <c r="AY153" s="100"/>
      <c r="AZ153" s="99"/>
      <c r="BA153" s="100"/>
      <c r="BB153" s="101"/>
      <c r="BC153" s="102">
        <v>86</v>
      </c>
      <c r="BD153" s="103"/>
    </row>
    <row r="154" spans="36:56" x14ac:dyDescent="0.25">
      <c r="AJ154" s="103"/>
      <c r="AK154" s="98">
        <v>87</v>
      </c>
      <c r="AL154" s="99"/>
      <c r="AM154" s="99"/>
      <c r="AN154" s="99"/>
      <c r="AO154" s="99"/>
      <c r="AP154" s="99"/>
      <c r="AQ154" s="99"/>
      <c r="AR154" s="99"/>
      <c r="AS154" s="101">
        <v>87</v>
      </c>
      <c r="AT154" s="103"/>
      <c r="AU154" s="101">
        <v>87</v>
      </c>
      <c r="AV154" s="99"/>
      <c r="AW154" s="99"/>
      <c r="AX154" s="99"/>
      <c r="AY154" s="99"/>
      <c r="AZ154" s="99"/>
      <c r="BA154" s="99"/>
      <c r="BB154" s="101"/>
      <c r="BC154" s="102">
        <v>87</v>
      </c>
      <c r="BD154" s="103"/>
    </row>
    <row r="155" spans="36:56" x14ac:dyDescent="0.25">
      <c r="AJ155" s="103"/>
      <c r="AK155" s="98">
        <v>88</v>
      </c>
      <c r="AL155" s="99"/>
      <c r="AM155" s="99"/>
      <c r="AN155" s="99"/>
      <c r="AO155" s="99"/>
      <c r="AP155" s="99"/>
      <c r="AQ155" s="99"/>
      <c r="AR155" s="99"/>
      <c r="AS155" s="101">
        <v>88</v>
      </c>
      <c r="AT155" s="103"/>
      <c r="AU155" s="101">
        <v>88</v>
      </c>
      <c r="AV155" s="99"/>
      <c r="AW155" s="99"/>
      <c r="AX155" s="99"/>
      <c r="AY155" s="99"/>
      <c r="AZ155" s="99"/>
      <c r="BA155" s="99"/>
      <c r="BB155" s="101"/>
      <c r="BC155" s="102">
        <v>88</v>
      </c>
      <c r="BD155" s="103"/>
    </row>
    <row r="156" spans="36:56" x14ac:dyDescent="0.25">
      <c r="AJ156" s="103"/>
      <c r="AK156" s="98">
        <v>89</v>
      </c>
      <c r="AL156" s="99"/>
      <c r="AM156" s="99"/>
      <c r="AN156" s="99"/>
      <c r="AO156" s="99"/>
      <c r="AP156" s="99"/>
      <c r="AQ156" s="99"/>
      <c r="AR156" s="99"/>
      <c r="AS156" s="101">
        <v>89</v>
      </c>
      <c r="AT156" s="103"/>
      <c r="AU156" s="101">
        <v>89</v>
      </c>
      <c r="AV156" s="99"/>
      <c r="AW156" s="99"/>
      <c r="AX156" s="99"/>
      <c r="AY156" s="99"/>
      <c r="AZ156" s="99"/>
      <c r="BA156" s="99"/>
      <c r="BB156" s="101"/>
      <c r="BC156" s="102">
        <v>89</v>
      </c>
      <c r="BD156" s="103"/>
    </row>
    <row r="157" spans="36:56" x14ac:dyDescent="0.25">
      <c r="AJ157" s="103"/>
      <c r="AK157" s="98">
        <v>90</v>
      </c>
      <c r="AL157" s="99"/>
      <c r="AM157" s="99"/>
      <c r="AN157" s="99"/>
      <c r="AO157" s="99"/>
      <c r="AP157" s="99"/>
      <c r="AQ157" s="99"/>
      <c r="AR157" s="99"/>
      <c r="AS157" s="101">
        <v>90</v>
      </c>
      <c r="AT157" s="103"/>
      <c r="AU157" s="101">
        <v>90</v>
      </c>
      <c r="AV157" s="99"/>
      <c r="AW157" s="99"/>
      <c r="AX157" s="99"/>
      <c r="AY157" s="99"/>
      <c r="AZ157" s="99"/>
      <c r="BA157" s="99"/>
      <c r="BB157" s="101"/>
      <c r="BC157" s="102">
        <v>90</v>
      </c>
      <c r="BD157" s="103"/>
    </row>
    <row r="158" spans="36:56" x14ac:dyDescent="0.25">
      <c r="AJ158" s="103"/>
      <c r="AK158" s="98">
        <v>91</v>
      </c>
      <c r="AL158" s="99"/>
      <c r="AM158" s="100"/>
      <c r="AN158" s="99"/>
      <c r="AO158" s="100"/>
      <c r="AP158" s="99"/>
      <c r="AQ158" s="100"/>
      <c r="AR158" s="99"/>
      <c r="AS158" s="101">
        <v>91</v>
      </c>
      <c r="AT158" s="103"/>
      <c r="AU158" s="101">
        <v>91</v>
      </c>
      <c r="AV158" s="99"/>
      <c r="AW158" s="100"/>
      <c r="AX158" s="99"/>
      <c r="AY158" s="100"/>
      <c r="AZ158" s="99"/>
      <c r="BA158" s="100"/>
      <c r="BB158" s="101"/>
      <c r="BC158" s="102">
        <v>91</v>
      </c>
      <c r="BD158" s="103"/>
    </row>
    <row r="159" spans="36:56" x14ac:dyDescent="0.25">
      <c r="AJ159" s="103"/>
      <c r="AK159" s="98">
        <v>92</v>
      </c>
      <c r="AL159" s="99"/>
      <c r="AM159" s="99"/>
      <c r="AN159" s="99"/>
      <c r="AO159" s="99"/>
      <c r="AP159" s="99"/>
      <c r="AQ159" s="99"/>
      <c r="AR159" s="99"/>
      <c r="AS159" s="101">
        <v>92</v>
      </c>
      <c r="AT159" s="103"/>
      <c r="AU159" s="101">
        <v>92</v>
      </c>
      <c r="AV159" s="99"/>
      <c r="AW159" s="99"/>
      <c r="AX159" s="99"/>
      <c r="AY159" s="99"/>
      <c r="AZ159" s="99"/>
      <c r="BA159" s="99"/>
      <c r="BB159" s="101"/>
      <c r="BC159" s="102">
        <v>92</v>
      </c>
      <c r="BD159" s="103"/>
    </row>
    <row r="160" spans="36:56" x14ac:dyDescent="0.25">
      <c r="AJ160" s="103"/>
      <c r="AK160" s="98">
        <v>93</v>
      </c>
      <c r="AL160" s="99"/>
      <c r="AM160" s="99"/>
      <c r="AN160" s="99"/>
      <c r="AO160" s="99"/>
      <c r="AP160" s="99"/>
      <c r="AQ160" s="99"/>
      <c r="AR160" s="99"/>
      <c r="AS160" s="101">
        <v>93</v>
      </c>
      <c r="AT160" s="103"/>
      <c r="AU160" s="101">
        <v>93</v>
      </c>
      <c r="AV160" s="99"/>
      <c r="AW160" s="99"/>
      <c r="AX160" s="99"/>
      <c r="AY160" s="99"/>
      <c r="AZ160" s="99"/>
      <c r="BA160" s="99"/>
      <c r="BB160" s="101"/>
      <c r="BC160" s="102">
        <v>93</v>
      </c>
      <c r="BD160" s="103"/>
    </row>
    <row r="161" spans="36:56" x14ac:dyDescent="0.25">
      <c r="AJ161" s="103"/>
      <c r="AK161" s="98">
        <v>94</v>
      </c>
      <c r="AL161" s="99"/>
      <c r="AM161" s="100"/>
      <c r="AN161" s="99"/>
      <c r="AO161" s="100"/>
      <c r="AP161" s="99"/>
      <c r="AQ161" s="100"/>
      <c r="AR161" s="99"/>
      <c r="AS161" s="101">
        <v>94</v>
      </c>
      <c r="AT161" s="103"/>
      <c r="AU161" s="101">
        <v>94</v>
      </c>
      <c r="AV161" s="99"/>
      <c r="AW161" s="100"/>
      <c r="AX161" s="99"/>
      <c r="AY161" s="100"/>
      <c r="AZ161" s="99"/>
      <c r="BA161" s="100"/>
      <c r="BB161" s="101"/>
      <c r="BC161" s="102">
        <v>94</v>
      </c>
      <c r="BD161" s="103"/>
    </row>
    <row r="162" spans="36:56" x14ac:dyDescent="0.25">
      <c r="AJ162" s="103"/>
      <c r="AK162" s="98">
        <v>95</v>
      </c>
      <c r="AL162" s="99"/>
      <c r="AM162" s="99"/>
      <c r="AN162" s="99"/>
      <c r="AO162" s="99"/>
      <c r="AP162" s="99"/>
      <c r="AQ162" s="99"/>
      <c r="AR162" s="99"/>
      <c r="AS162" s="101">
        <v>95</v>
      </c>
      <c r="AT162" s="103"/>
      <c r="AU162" s="101">
        <v>95</v>
      </c>
      <c r="AV162" s="99"/>
      <c r="AW162" s="99"/>
      <c r="AX162" s="99"/>
      <c r="AY162" s="99"/>
      <c r="AZ162" s="99"/>
      <c r="BA162" s="99"/>
      <c r="BB162" s="101"/>
      <c r="BC162" s="102">
        <v>95</v>
      </c>
      <c r="BD162" s="103"/>
    </row>
    <row r="163" spans="36:56" x14ac:dyDescent="0.25">
      <c r="AJ163" s="103"/>
      <c r="AK163" s="98">
        <v>96</v>
      </c>
      <c r="AL163" s="99"/>
      <c r="AM163" s="99"/>
      <c r="AN163" s="99"/>
      <c r="AO163" s="99"/>
      <c r="AP163" s="99"/>
      <c r="AQ163" s="99"/>
      <c r="AR163" s="99"/>
      <c r="AS163" s="101">
        <v>96</v>
      </c>
      <c r="AT163" s="103"/>
      <c r="AU163" s="101">
        <v>96</v>
      </c>
      <c r="AV163" s="99"/>
      <c r="AW163" s="99"/>
      <c r="AX163" s="99"/>
      <c r="AY163" s="99"/>
      <c r="AZ163" s="99"/>
      <c r="BA163" s="99"/>
      <c r="BB163" s="101"/>
      <c r="BC163" s="102">
        <v>96</v>
      </c>
      <c r="BD163" s="103"/>
    </row>
    <row r="164" spans="36:56" x14ac:dyDescent="0.25">
      <c r="AJ164" s="103"/>
      <c r="AK164" s="98">
        <v>97</v>
      </c>
      <c r="AL164" s="99"/>
      <c r="AM164" s="99"/>
      <c r="AN164" s="99"/>
      <c r="AO164" s="99"/>
      <c r="AP164" s="99"/>
      <c r="AQ164" s="99"/>
      <c r="AR164" s="99"/>
      <c r="AS164" s="101">
        <v>97</v>
      </c>
      <c r="AT164" s="103"/>
      <c r="AU164" s="101">
        <v>97</v>
      </c>
      <c r="AV164" s="99"/>
      <c r="AW164" s="99"/>
      <c r="AX164" s="99"/>
      <c r="AY164" s="99"/>
      <c r="AZ164" s="99"/>
      <c r="BA164" s="99"/>
      <c r="BB164" s="101"/>
      <c r="BC164" s="102">
        <v>97</v>
      </c>
      <c r="BD164" s="103"/>
    </row>
    <row r="165" spans="36:56" x14ac:dyDescent="0.25">
      <c r="AJ165" s="103"/>
      <c r="AK165" s="98">
        <v>98</v>
      </c>
      <c r="AL165" s="99"/>
      <c r="AM165" s="99"/>
      <c r="AN165" s="99"/>
      <c r="AO165" s="99"/>
      <c r="AP165" s="99"/>
      <c r="AQ165" s="99"/>
      <c r="AR165" s="99"/>
      <c r="AS165" s="101">
        <v>98</v>
      </c>
      <c r="AT165" s="103"/>
      <c r="AU165" s="101">
        <v>98</v>
      </c>
      <c r="AV165" s="99"/>
      <c r="AW165" s="99"/>
      <c r="AX165" s="99"/>
      <c r="AY165" s="99"/>
      <c r="AZ165" s="99"/>
      <c r="BA165" s="99"/>
      <c r="BB165" s="101"/>
      <c r="BC165" s="102">
        <v>98</v>
      </c>
      <c r="BD165" s="103"/>
    </row>
    <row r="166" spans="36:56" x14ac:dyDescent="0.25">
      <c r="AJ166" s="103"/>
      <c r="AK166" s="98">
        <v>99</v>
      </c>
      <c r="AL166" s="99"/>
      <c r="AM166" s="100"/>
      <c r="AN166" s="99"/>
      <c r="AO166" s="100"/>
      <c r="AP166" s="99"/>
      <c r="AQ166" s="100"/>
      <c r="AR166" s="99"/>
      <c r="AS166" s="101">
        <v>99</v>
      </c>
      <c r="AT166" s="103"/>
      <c r="AU166" s="101">
        <v>99</v>
      </c>
      <c r="AV166" s="99"/>
      <c r="AW166" s="100"/>
      <c r="AX166" s="99"/>
      <c r="AY166" s="100"/>
      <c r="AZ166" s="99"/>
      <c r="BA166" s="100"/>
      <c r="BB166" s="101"/>
      <c r="BC166" s="102">
        <v>99</v>
      </c>
      <c r="BD166" s="103"/>
    </row>
    <row r="167" spans="36:56" x14ac:dyDescent="0.25">
      <c r="AJ167" s="103"/>
      <c r="AK167" s="101">
        <v>100</v>
      </c>
      <c r="AL167" s="101"/>
      <c r="AM167" s="101"/>
      <c r="AN167" s="101"/>
      <c r="AO167" s="101"/>
      <c r="AP167" s="101"/>
      <c r="AQ167" s="101"/>
      <c r="AR167" s="101"/>
      <c r="AS167" s="101">
        <v>100</v>
      </c>
      <c r="AT167" s="101"/>
      <c r="AU167" s="101">
        <v>100</v>
      </c>
      <c r="AV167" s="101"/>
      <c r="AW167" s="101"/>
      <c r="AX167" s="101"/>
      <c r="AY167" s="101"/>
      <c r="AZ167" s="101"/>
      <c r="BA167" s="101"/>
      <c r="BB167" s="101"/>
      <c r="BC167" s="102">
        <v>100</v>
      </c>
      <c r="BD167" s="103"/>
    </row>
    <row r="168" spans="36:56" x14ac:dyDescent="0.25"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</row>
    <row r="7071" spans="39:39" x14ac:dyDescent="0.25">
      <c r="AM7071" s="61"/>
    </row>
  </sheetData>
  <sheetProtection sheet="1" objects="1" scenarios="1" selectLockedCells="1"/>
  <mergeCells count="19">
    <mergeCell ref="BI60:BJ60"/>
    <mergeCell ref="BI61:BJ61"/>
    <mergeCell ref="BI62:BJ62"/>
    <mergeCell ref="BI63:BJ63"/>
    <mergeCell ref="BI64:BJ64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BJ80:BK81"/>
    <mergeCell ref="AC67:AG67"/>
    <mergeCell ref="AC70:AG70"/>
    <mergeCell ref="AC71:AG71"/>
    <mergeCell ref="BJ77:BK77"/>
    <mergeCell ref="BJ78:BK79"/>
  </mergeCells>
  <conditionalFormatting sqref="BJ78:BK79">
    <cfRule type="containsText" dxfId="1" priority="2" operator="containsText" text="CONFORME">
      <formula>NOT(ISERROR(SEARCH("CONFORME",BJ78)))</formula>
    </cfRule>
    <cfRule type="containsText" dxfId="0" priority="1" operator="containsText" text="NON CONFORME">
      <formula>NOT(ISERROR(SEARCH("NON CONFORME",BJ78)))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0</xdr:colOff>
                    <xdr:row>89</xdr:row>
                    <xdr:rowOff>180975</xdr:rowOff>
                  </from>
                  <to>
                    <xdr:col>59</xdr:col>
                    <xdr:colOff>285750</xdr:colOff>
                    <xdr:row>92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58</xdr:col>
                    <xdr:colOff>0</xdr:colOff>
                    <xdr:row>93</xdr:row>
                    <xdr:rowOff>47625</xdr:rowOff>
                  </from>
                  <to>
                    <xdr:col>59</xdr:col>
                    <xdr:colOff>285750</xdr:colOff>
                    <xdr:row>95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171450</xdr:colOff>
                    <xdr:row>90</xdr:row>
                    <xdr:rowOff>38100</xdr:rowOff>
                  </from>
                  <to>
                    <xdr:col>62</xdr:col>
                    <xdr:colOff>638175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58</xdr:col>
                    <xdr:colOff>9525</xdr:colOff>
                    <xdr:row>97</xdr:row>
                    <xdr:rowOff>9525</xdr:rowOff>
                  </from>
                  <to>
                    <xdr:col>59</xdr:col>
                    <xdr:colOff>304800</xdr:colOff>
                    <xdr:row>99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" name="Button 40">
              <controlPr defaultSize="0" print="0" autoFill="0" autoPict="0" macro="[0]!ClearAllActiveRollArea">
                <anchor moveWithCells="1" sizeWithCells="1">
                  <from>
                    <xdr:col>58</xdr:col>
                    <xdr:colOff>381000</xdr:colOff>
                    <xdr:row>101</xdr:row>
                    <xdr:rowOff>190500</xdr:rowOff>
                  </from>
                  <to>
                    <xdr:col>59</xdr:col>
                    <xdr:colOff>666750</xdr:colOff>
                    <xdr:row>104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3F123-48F0-4618-860F-72EAF593EDA2}">
  <sheetPr codeName="Feuil1"/>
  <dimension ref="B5"/>
  <sheetViews>
    <sheetView workbookViewId="0">
      <selection activeCell="B5" sqref="B5"/>
    </sheetView>
  </sheetViews>
  <sheetFormatPr baseColWidth="10" defaultRowHeight="15" x14ac:dyDescent="0.25"/>
  <sheetData>
    <row r="5" spans="2:2" x14ac:dyDescent="0.25">
      <c r="B5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M65:BA90"/>
  <sheetViews>
    <sheetView workbookViewId="0">
      <selection activeCell="A2" sqref="A2:XFD7"/>
    </sheetView>
  </sheetViews>
  <sheetFormatPr baseColWidth="10" defaultRowHeight="15" x14ac:dyDescent="0.25"/>
  <cols>
    <col min="4" max="4" width="12" bestFit="1" customWidth="1"/>
    <col min="6" max="6" width="2.140625" bestFit="1" customWidth="1"/>
    <col min="7" max="7" width="9.5703125" bestFit="1" customWidth="1"/>
    <col min="8" max="9" width="2.140625" bestFit="1" customWidth="1"/>
  </cols>
  <sheetData>
    <row r="65" spans="39:53" x14ac:dyDescent="0.25">
      <c r="AM65" s="55"/>
      <c r="AO65" s="55"/>
      <c r="AQ65" s="55"/>
      <c r="AW65" s="55"/>
      <c r="AY65" s="55"/>
      <c r="BA65" s="55"/>
    </row>
    <row r="70" spans="39:53" x14ac:dyDescent="0.25">
      <c r="AM70" s="55"/>
      <c r="AO70" s="55"/>
      <c r="AQ70" s="55"/>
      <c r="AW70" s="55"/>
      <c r="AY70" s="55"/>
      <c r="BA70" s="55"/>
    </row>
    <row r="75" spans="39:53" x14ac:dyDescent="0.25">
      <c r="AM75" s="55"/>
      <c r="AO75" s="55"/>
      <c r="AQ75" s="55"/>
      <c r="AW75" s="55"/>
      <c r="AY75" s="55"/>
      <c r="BA75" s="55"/>
    </row>
    <row r="80" spans="39:53" x14ac:dyDescent="0.25">
      <c r="AM80" s="55"/>
      <c r="AO80" s="55"/>
      <c r="AQ80" s="55"/>
      <c r="AW80" s="55"/>
      <c r="AY80" s="55"/>
      <c r="BA80" s="55"/>
    </row>
    <row r="85" spans="39:53" x14ac:dyDescent="0.25">
      <c r="AM85" s="55"/>
      <c r="AO85" s="55"/>
      <c r="AQ85" s="55"/>
      <c r="AW85" s="55"/>
      <c r="AY85" s="55"/>
      <c r="BA85" s="55"/>
    </row>
    <row r="90" spans="39:53" x14ac:dyDescent="0.25">
      <c r="AM90" s="55"/>
      <c r="AO90" s="55"/>
      <c r="AQ90" s="55"/>
      <c r="AW90" s="55"/>
      <c r="AY90" s="55"/>
      <c r="BA90" s="5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26</vt:i4>
      </vt:variant>
    </vt:vector>
  </HeadingPairs>
  <TitlesOfParts>
    <vt:vector size="29" baseType="lpstr">
      <vt:lpstr>PROD</vt:lpstr>
      <vt:lpstr>Feuil1</vt:lpstr>
      <vt:lpstr>dataShifts</vt:lpstr>
      <vt:lpstr>activeRollArea</vt:lpstr>
      <vt:lpstr>allThicknessCels</vt:lpstr>
      <vt:lpstr>centerDefaultsCol</vt:lpstr>
      <vt:lpstr>ctrlMinThickness</vt:lpstr>
      <vt:lpstr>ctrlWarnThickness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2025-05-25T15:44:35Z</dcterms:modified>
</cp:coreProperties>
</file>