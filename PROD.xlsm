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B475BDEF-6992-4EE4-AE06-31DAFE3D4EAD}" xr6:coauthVersionLast="47" xr6:coauthVersionMax="47" xr10:uidLastSave="{00000000-0000-0000-0000-000000000000}"/>
  <bookViews>
    <workbookView xWindow="22932" yWindow="-108" windowWidth="23256" windowHeight="14616" xr2:uid="{E1BEFE4C-2B26-4547-80AA-56C535AF2E42}"/>
  </bookViews>
  <sheets>
    <sheet name="PROD" sheetId="1" r:id="rId1"/>
    <sheet name="params" sheetId="3" r:id="rId2"/>
    <sheet name="dataShifts" sheetId="2" r:id="rId3"/>
    <sheet name="dataRolls" sheetId="4" r:id="rId4"/>
    <sheet name="dataGlbCtrls" sheetId="5" r:id="rId5"/>
  </sheets>
  <functionGroups builtInGroupCount="19"/>
  <definedNames>
    <definedName name="_xleta.MIRR" hidden="1" xlm="1">#NAME?</definedName>
    <definedName name="_xleta.NOT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bain">PROD!$AT$55</definedName>
    <definedName name="bainMax">PROD!$BK$62</definedName>
    <definedName name="bainMin">PROD!$BH$62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loi">PROD!$AT$58</definedName>
    <definedName name="masseSurfaciqueDC">PROD!$AW$63</definedName>
    <definedName name="masseSurfaciqueDD">PROD!$BA$63</definedName>
    <definedName name="masseSurfaciqueGC">PROD!$AQ$63</definedName>
    <definedName name="masseSurfaciqueGG">PROD!$AM$63</definedName>
    <definedName name="masseSurfMax">PROD!$BK$64</definedName>
    <definedName name="masseSurfMin">PROD!$BH$64</definedName>
    <definedName name="maxRollArea">PROD!$AJ$68:$BD$167</definedName>
    <definedName name="micD1">PROD!$AY$55</definedName>
    <definedName name="micD2">PROD!$AY$56</definedName>
    <definedName name="micD3">PROD!$AY$57</definedName>
    <definedName name="micG1">PROD!$AO$55</definedName>
    <definedName name="micG2">PROD!$AO$56</definedName>
    <definedName name="micG3">PROD!$AO$57</definedName>
    <definedName name="micronnaireMax">PROD!$BK$61</definedName>
    <definedName name="micronnaireMin">PROD!$BH$61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58" i="1" l="1"/>
  <c r="AO58" i="1"/>
  <c r="BG93" i="1"/>
  <c r="BG83" i="1"/>
  <c r="BJ83" i="1" s="1"/>
  <c r="AG58" i="1"/>
  <c r="AC55" i="1"/>
  <c r="BJ78" i="1"/>
  <c r="BH79" i="1" s="1"/>
  <c r="BJ80" i="1" s="1"/>
  <c r="AF63" i="1"/>
  <c r="AG64" i="1" s="1"/>
  <c r="AF60" i="1"/>
  <c r="AG61" i="1" s="1"/>
  <c r="BG59" i="1"/>
  <c r="AG54" i="1"/>
  <c r="BG79" i="1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<sst xmlns="http://schemas.openxmlformats.org/spreadsheetml/2006/main" count="174" uniqueCount="136">
  <si>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</si>
  <si>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</si>
  <si>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</si>
  <si>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</si>
  <si>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</si>
  <si>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</si>
  <si>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</si>
  <si>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</si>
  <si>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</si>
  <si>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</si>
  <si>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</si>
  <si>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</si>
  <si>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</si>
  <si>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</si>
  <si>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</si>
  <si>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</si>
  <si>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</si>
  <si>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</si>
  <si>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</si>
  <si>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</si>
  <si>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</si>
  <si>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</si>
  <si>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</si>
  <si>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</si>
  <si>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</si>
  <si>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</si>
  <si>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</si>
  <si>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</si>
  <si>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</si>
  <si>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</si>
  <si>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</si>
  <si>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</si>
  <si>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</si>
  <si>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</si>
  <si>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</si>
  <si>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</si>
  <si>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</si>
  <si>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</si>
  <si>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</si>
  <si>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</si>
  <si>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</si>
  <si>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</si>
  <si>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</si>
  <si>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</si>
  <si>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poste ID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</si>
  <si>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</si>
  <si>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</si>
  <si>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</si>
  <si>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</si>
  <si>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</si>
  <si>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</si>
  <si>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</si>
  <si>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</si>
  <si>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</si>
  <si>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</si>
  <si>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</si>
  <si>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</si>
  <si>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</si>
  <si>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</si>
  <si>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</si>
  <si>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</si>
  <si>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</si>
  <si>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280525_Nuit_NicolasBoulais</t>
  </si>
  <si>
    <t>Pas de gants ! | Fibrage difficile au milieu</t>
  </si>
  <si>
    <t>280525_Nuit_DavidHouy</t>
  </si>
  <si>
    <t>gr/m2</t>
  </si>
  <si>
    <t>g</t>
  </si>
  <si>
    <t>280525_Matin_DavidHouy</t>
  </si>
  <si>
    <t>CONFORME</t>
  </si>
  <si>
    <t>040625_Après-Midi_LombricNau</t>
  </si>
  <si>
    <t>3m : 6,66/ 6,11/ 6,25/ 7,44/ 5,56/ 6,08/</t>
  </si>
  <si>
    <t>8m : 5,33/ 5,37/ 6,88/ 6,85/ 4,57/ 6,30/</t>
  </si>
  <si>
    <t>13m : 4,44/ 6,83/ 7,01/ 5,90/ 5,35/ 6,39/</t>
  </si>
  <si>
    <t>18m : 6,67/ 4,55/ 5,72/ 6,47/ 5,24/ 5,29/</t>
  </si>
  <si>
    <t>23m : 7,16/ 6,93/ 5,60/ 7,06/ 7,04/ 6,29/</t>
  </si>
  <si>
    <t>28m : 7,48/ 7,19/ 4,58/ 7,56/ 7,32/ 5,13/</t>
  </si>
  <si>
    <t>NON</t>
  </si>
  <si>
    <t>Echantillon pour LOI</t>
  </si>
  <si>
    <t>OK</t>
  </si>
  <si>
    <t>GG</t>
  </si>
  <si>
    <t>GC</t>
  </si>
  <si>
    <t>DC</t>
  </si>
  <si>
    <t>DD</t>
  </si>
  <si>
    <t>ID</t>
  </si>
  <si>
    <t>OF</t>
  </si>
  <si>
    <t>Numéro</t>
  </si>
  <si>
    <t>Statut</t>
  </si>
  <si>
    <t>Poids tube</t>
  </si>
  <si>
    <t>Poids total</t>
  </si>
  <si>
    <t>Poids</t>
  </si>
  <si>
    <t>g/m²</t>
  </si>
  <si>
    <t>Date sauvegarde</t>
  </si>
  <si>
    <t>Défauts</t>
  </si>
  <si>
    <t>Avg Left Thickness</t>
  </si>
  <si>
    <t>Avg Right Thickness</t>
  </si>
  <si>
    <t>Mesure 1</t>
  </si>
  <si>
    <t>Mesure 2</t>
  </si>
  <si>
    <t>Mesure 3</t>
  </si>
  <si>
    <t>Mesure 4</t>
  </si>
  <si>
    <t>Mesure 5</t>
  </si>
  <si>
    <t>Mesure 6</t>
  </si>
  <si>
    <t>Mesure 7</t>
  </si>
  <si>
    <t>Mesure 8</t>
  </si>
  <si>
    <t>Mesure 9</t>
  </si>
  <si>
    <t>Mesure 10</t>
  </si>
  <si>
    <t>4321-33</t>
  </si>
  <si>
    <t>3m : 5,06/ 7,17/ 6,28/ 7,59/ 5,49/ 5,98/</t>
  </si>
  <si>
    <t>8m : 6,82/ 7,37/ 5,46/ 5,72/ 6,62/ 4,97/</t>
  </si>
  <si>
    <t>13m : 6,14/ 4,66/ 6,43/ 5,75/ 6,14/ 7,01/</t>
  </si>
  <si>
    <t>18m : 5,71/ 7,47/ 4,77/ 6,13/ 5,77/ 6,03/</t>
  </si>
  <si>
    <t>23m : 7,36/ 6,38/ 5,51/ 5,13/ 6,38/ 5,97/</t>
  </si>
  <si>
    <t>28m : 4,88/ 5,94/ 5,10/ 6,58/ 7,24/ 5,59/</t>
  </si>
  <si>
    <t>4321-34</t>
  </si>
  <si>
    <t>070625_Après-Midi_LombricNau</t>
  </si>
  <si>
    <t>Tps</t>
  </si>
  <si>
    <t>Commentaires</t>
  </si>
  <si>
    <t>SaveDate</t>
  </si>
  <si>
    <t>Démarrée</t>
  </si>
  <si>
    <t>shiftID</t>
  </si>
  <si>
    <t>moyenneMicG</t>
  </si>
  <si>
    <t>moyenneMicD</t>
  </si>
  <si>
    <t>micG1</t>
  </si>
  <si>
    <t>micG2</t>
  </si>
  <si>
    <t>micG3</t>
  </si>
  <si>
    <t>micD1</t>
  </si>
  <si>
    <t>micD2</t>
  </si>
  <si>
    <t>micD3</t>
  </si>
  <si>
    <t>masseSurfaciqueGG</t>
  </si>
  <si>
    <t>masseSurfaciqueGC</t>
  </si>
  <si>
    <t>masseSurfaciqueDC</t>
  </si>
  <si>
    <t>masseSurfaciqueDD</t>
  </si>
  <si>
    <t>bain</t>
  </si>
  <si>
    <t>loi</t>
  </si>
  <si>
    <t>productRollID</t>
  </si>
  <si>
    <t>saveDateTime</t>
  </si>
  <si>
    <t>4321-35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</si>
</sst>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9"/>
      <color rgb="FF808080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E9F8"/>
        <bgColor indexed="64"/>
      </patternFill>
    </fill>
  </fills>
  <borders count="23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  <border>
      <left/>
      <right/>
      <top style="medium">
        <color theme="3" tint="0.499984740745262"/>
      </top>
      <bottom/>
      <diagonal/>
    </border>
  </borders>
  <cellStyleXfs count="1">
    <xf numFmtId="0" fontId="0" fillId="0" borderId="0"/>
  </cellStyleXfs>
  <cellXfs count="134">
    <xf numFmtId="0" fontId="0" fillId="0" borderId="0" xfId="0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3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18" fillId="9" borderId="0" xfId="0" applyFont="1" applyFill="1"/>
    <xf numFmtId="0" fontId="16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10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7" borderId="12" xfId="0" applyFont="1" applyFill="1" applyBorder="1" applyAlignment="1" applyProtection="1">
      <alignment horizontal="center" vertical="center"/>
      <protection locked="0"/>
    </xf>
    <xf numFmtId="164" fontId="10" fillId="7" borderId="12" xfId="0" applyNumberFormat="1" applyFont="1" applyFill="1" applyBorder="1" applyAlignment="1" applyProtection="1">
      <alignment horizontal="center" vertical="center"/>
      <protection locked="0"/>
    </xf>
    <xf numFmtId="165" fontId="11" fillId="5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13" fillId="5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0" fontId="0" fillId="0" borderId="0" xfId="0" applyNumberFormat="1"/>
    <xf numFmtId="22" fontId="0" fillId="0" borderId="0" xfId="0" applyNumberFormat="1"/>
    <xf numFmtId="0" fontId="28" fillId="5" borderId="0" xfId="0" applyFont="1" applyFill="1" applyAlignment="1">
      <alignment horizontal="center" vertical="center"/>
    </xf>
    <xf numFmtId="0" fontId="10" fillId="7" borderId="10" xfId="0" applyFont="1" applyFill="1" applyBorder="1" applyAlignment="1" applyProtection="1">
      <alignment horizontal="center" vertical="center"/>
      <protection locked="0"/>
    </xf>
    <xf numFmtId="0" fontId="10" fillId="7" borderId="13" xfId="0" applyFont="1" applyFill="1" applyBorder="1" applyAlignment="1" applyProtection="1">
      <alignment horizontal="center" vertical="center"/>
      <protection locked="0"/>
    </xf>
    <xf numFmtId="0" fontId="10" fillId="7" borderId="1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left" vertical="center"/>
    </xf>
    <xf numFmtId="22" fontId="0" fillId="0" borderId="0" xfId="0" applyNumberFormat="1" applyAlignment="1">
      <alignment horizontal="center"/>
    </xf>
    <xf numFmtId="0" fontId="29" fillId="5" borderId="0" xfId="0" applyFont="1" applyFill="1" applyAlignment="1">
      <alignment horizontal="right" vertical="center"/>
    </xf>
    <xf numFmtId="0" fontId="3" fillId="13" borderId="0" xfId="0" applyFont="1" applyFill="1" applyAlignment="1">
      <alignment horizontal="center"/>
    </xf>
    <xf numFmtId="0" fontId="31" fillId="9" borderId="0" xfId="0" applyFont="1" applyFill="1" applyAlignment="1" applyProtection="1">
      <alignment horizontal="right" vertical="center"/>
      <protection locked="0"/>
    </xf>
    <xf numFmtId="0" fontId="31" fillId="9" borderId="0" xfId="0" applyFont="1" applyFill="1" applyAlignment="1" applyProtection="1">
      <alignment horizontal="center" vertical="center"/>
      <protection locked="0"/>
    </xf>
    <xf numFmtId="0" fontId="31" fillId="9" borderId="0" xfId="0" applyFont="1" applyFill="1" applyAlignment="1" applyProtection="1">
      <alignment horizontal="left" vertical="center"/>
      <protection locked="0"/>
    </xf>
    <xf numFmtId="0" fontId="32" fillId="5" borderId="0" xfId="0" applyFont="1" applyFill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7" fillId="5" borderId="0" xfId="0" applyFont="1" applyFill="1" applyAlignment="1">
      <alignment horizontal="left" vertical="center"/>
    </xf>
    <xf numFmtId="0" fontId="13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right"/>
    </xf>
    <xf numFmtId="0" fontId="26" fillId="5" borderId="0" xfId="0" applyFont="1" applyFill="1" applyAlignment="1">
      <alignment horizontal="right" vertical="top"/>
    </xf>
    <xf numFmtId="0" fontId="27" fillId="5" borderId="0" xfId="0" applyFont="1" applyFill="1" applyAlignment="1">
      <alignment horizontal="left"/>
    </xf>
    <xf numFmtId="0" fontId="27" fillId="5" borderId="0" xfId="0" applyFont="1" applyFill="1" applyAlignment="1">
      <alignment horizontal="left" vertical="top"/>
    </xf>
    <xf numFmtId="0" fontId="5" fillId="5" borderId="0" xfId="0" applyFont="1" applyFill="1"/>
    <xf numFmtId="0" fontId="0" fillId="5" borderId="22" xfId="0" applyFill="1" applyBorder="1"/>
    <xf numFmtId="0" fontId="9" fillId="7" borderId="12" xfId="0" applyFont="1" applyFill="1" applyBorder="1" applyAlignment="1" applyProtection="1">
      <alignment horizontal="center" vertical="center"/>
      <protection locked="0"/>
    </xf>
    <xf numFmtId="0" fontId="9" fillId="7" borderId="10" xfId="0" applyFont="1" applyFill="1" applyBorder="1" applyAlignment="1" applyProtection="1">
      <alignment horizontal="center" vertical="center"/>
      <protection locked="0"/>
    </xf>
    <xf numFmtId="0" fontId="9" fillId="7" borderId="13" xfId="0" applyFont="1" applyFill="1" applyBorder="1" applyAlignment="1" applyProtection="1">
      <alignment horizontal="center" vertical="center"/>
      <protection locked="0"/>
    </xf>
    <xf numFmtId="0" fontId="9" fillId="7" borderId="17" xfId="0" applyFont="1" applyFill="1" applyBorder="1" applyAlignment="1" applyProtection="1">
      <alignment horizontal="center" vertical="center"/>
      <protection locked="0"/>
    </xf>
    <xf numFmtId="0" fontId="5" fillId="5" borderId="5" xfId="0" applyFont="1" applyFill="1" applyBorder="1" applyAlignment="1">
      <alignment horizontal="center"/>
    </xf>
    <xf numFmtId="0" fontId="0" fillId="15" borderId="0" xfId="0" applyFill="1"/>
    <xf numFmtId="0" fontId="20" fillId="16" borderId="21" xfId="0" applyFont="1" applyFill="1" applyBorder="1" applyAlignment="1" applyProtection="1">
      <alignment horizontal="center" vertical="center"/>
      <protection locked="0"/>
    </xf>
    <xf numFmtId="0" fontId="5" fillId="5" borderId="19" xfId="0" applyFont="1" applyFill="1" applyBorder="1" applyAlignment="1">
      <alignment horizontal="center" vertical="top"/>
    </xf>
    <xf numFmtId="2" fontId="30" fillId="4" borderId="0" xfId="0" applyNumberFormat="1" applyFont="1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horizontal="left" vertical="top"/>
      <protection locked="0"/>
    </xf>
    <xf numFmtId="0" fontId="9" fillId="5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6" fontId="10" fillId="7" borderId="1" xfId="0" applyNumberFormat="1" applyFont="1" applyFill="1" applyBorder="1" applyAlignment="1" applyProtection="1">
      <alignment horizontal="center" vertical="center"/>
      <protection locked="0"/>
    </xf>
    <xf numFmtId="166" fontId="10" fillId="7" borderId="2" xfId="0" applyNumberFormat="1" applyFont="1" applyFill="1" applyBorder="1" applyAlignment="1" applyProtection="1">
      <alignment horizontal="center" vertical="center"/>
      <protection locked="0"/>
    </xf>
    <xf numFmtId="166" fontId="10" fillId="7" borderId="3" xfId="0" applyNumberFormat="1" applyFont="1" applyFill="1" applyBorder="1" applyAlignment="1" applyProtection="1">
      <alignment horizontal="center" vertical="center"/>
      <protection locked="0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0" fillId="7" borderId="2" xfId="0" applyFont="1" applyFill="1" applyBorder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9" fillId="7" borderId="1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0" fillId="15" borderId="0" xfId="0" applyFill="1" applyAlignment="1">
      <alignment horizontal="center"/>
    </xf>
    <xf numFmtId="0" fontId="22" fillId="10" borderId="0" xfId="0" applyFont="1" applyFill="1" applyAlignment="1" applyProtection="1">
      <alignment horizontal="right" vertical="center"/>
    </xf>
    <xf numFmtId="0" fontId="34" fillId="10" borderId="0" xfId="0" applyFont="1" applyFill="1" applyAlignment="1" applyProtection="1">
      <alignment horizontal="right" vertical="center"/>
    </xf>
    <xf numFmtId="0" fontId="23" fillId="10" borderId="0" xfId="0" applyFont="1" applyFill="1" applyAlignment="1" applyProtection="1">
      <alignment horizontal="center" vertical="center"/>
    </xf>
    <xf numFmtId="2" fontId="23" fillId="10" borderId="0" xfId="0" applyNumberFormat="1" applyFont="1" applyFill="1" applyAlignment="1" applyProtection="1">
      <alignment horizontal="center" vertical="center"/>
    </xf>
    <xf numFmtId="0" fontId="34" fillId="10" borderId="0" xfId="0" applyFont="1" applyFill="1" applyAlignment="1" applyProtection="1">
      <alignment horizontal="center" vertical="center"/>
    </xf>
    <xf numFmtId="0" fontId="22" fillId="10" borderId="0" xfId="0" applyFont="1" applyFill="1" applyAlignment="1" applyProtection="1">
      <alignment horizontal="center" vertical="center"/>
    </xf>
    <xf numFmtId="0" fontId="34" fillId="10" borderId="0" xfId="0" applyFont="1" applyFill="1" applyAlignment="1" applyProtection="1">
      <alignment horizontal="left" vertical="center"/>
    </xf>
    <xf numFmtId="0" fontId="22" fillId="10" borderId="0" xfId="0" applyFont="1" applyFill="1" applyAlignment="1" applyProtection="1">
      <alignment horizontal="left" vertical="center"/>
    </xf>
    <xf numFmtId="0" fontId="21" fillId="10" borderId="0" xfId="0" applyFont="1" applyFill="1" applyAlignment="1" applyProtection="1">
      <alignment horizontal="center" vertical="center"/>
    </xf>
    <xf numFmtId="0" fontId="20" fillId="9" borderId="0" xfId="0" applyFont="1" applyFill="1" applyAlignment="1" applyProtection="1">
      <alignment horizontal="center" vertical="center"/>
    </xf>
    <xf numFmtId="2" fontId="20" fillId="9" borderId="0" xfId="0" applyNumberFormat="1" applyFont="1" applyFill="1" applyAlignment="1" applyProtection="1">
      <alignment horizontal="center" vertical="center"/>
    </xf>
    <xf numFmtId="0" fontId="19" fillId="9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right" vertical="center"/>
    </xf>
    <xf numFmtId="0" fontId="25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left" vertical="center"/>
    </xf>
    <xf numFmtId="2" fontId="30" fillId="9" borderId="0" xfId="0" applyNumberFormat="1" applyFont="1" applyFill="1" applyAlignment="1" applyProtection="1">
      <alignment horizontal="center" vertical="center"/>
    </xf>
    <xf numFmtId="0" fontId="33" fillId="14" borderId="21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12"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371475</xdr:colOff>
          <xdr:row>80</xdr:row>
          <xdr:rowOff>95250</xdr:rowOff>
        </xdr:from>
        <xdr:to>
          <xdr:col>33</xdr:col>
          <xdr:colOff>104775</xdr:colOff>
          <xdr:row>82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47625</xdr:colOff>
          <xdr:row>90</xdr:row>
          <xdr:rowOff>104775</xdr:rowOff>
        </xdr:from>
        <xdr:to>
          <xdr:col>63</xdr:col>
          <xdr:colOff>133350</xdr:colOff>
          <xdr:row>93</xdr:row>
          <xdr:rowOff>28575</xdr:rowOff>
        </xdr:to>
        <xdr:grpSp>
          <xdr:nvGrpSpPr>
            <xdr:cNvPr id="2" name="Groupe 1">
              <a:extLst>
                <a:ext uri="{FF2B5EF4-FFF2-40B4-BE49-F238E27FC236}">
                  <a16:creationId xmlns:a16="http://schemas.microsoft.com/office/drawing/2014/main" id="{5507D116-B70C-695F-51E3-615EC693CC0E}"/>
                </a:ext>
              </a:extLst>
            </xdr:cNvPr>
            <xdr:cNvGrpSpPr/>
          </xdr:nvGrpSpPr>
          <xdr:grpSpPr>
            <a:xfrm>
              <a:off x="13693140" y="17419320"/>
              <a:ext cx="2628900" cy="495300"/>
              <a:chOff x="12753975" y="16764000"/>
              <a:chExt cx="2628900" cy="495300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2753975" y="16773525"/>
                <a:ext cx="1200150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Random Ep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4173200" y="16764000"/>
                <a:ext cx="1209675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Clear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80</xdr:row>
          <xdr:rowOff>76200</xdr:rowOff>
        </xdr:from>
        <xdr:to>
          <xdr:col>29</xdr:col>
          <xdr:colOff>161925</xdr:colOff>
          <xdr:row>82</xdr:row>
          <xdr:rowOff>161925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Shift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171450</xdr:colOff>
          <xdr:row>83</xdr:row>
          <xdr:rowOff>104775</xdr:rowOff>
        </xdr:from>
        <xdr:to>
          <xdr:col>63</xdr:col>
          <xdr:colOff>47625</xdr:colOff>
          <xdr:row>86</xdr:row>
          <xdr:rowOff>19050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47625</xdr:colOff>
          <xdr:row>57</xdr:row>
          <xdr:rowOff>9525</xdr:rowOff>
        </xdr:from>
        <xdr:to>
          <xdr:col>48</xdr:col>
          <xdr:colOff>85725</xdr:colOff>
          <xdr:row>57</xdr:row>
          <xdr:rowOff>171450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Donné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142875</xdr:colOff>
          <xdr:row>61</xdr:row>
          <xdr:rowOff>133350</xdr:rowOff>
        </xdr:from>
        <xdr:to>
          <xdr:col>46</xdr:col>
          <xdr:colOff>180975</xdr:colOff>
          <xdr:row>63</xdr:row>
          <xdr:rowOff>38100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47625</xdr:rowOff>
        </xdr:from>
        <xdr:to>
          <xdr:col>5</xdr:col>
          <xdr:colOff>590550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A56" zoomScaleNormal="100" workbookViewId="0">
      <selection activeCell="AJ78" sqref="AJ78"/>
    </sheetView>
  </sheetViews>
  <sheetFormatPr baseColWidth="10" defaultRowHeight="15" x14ac:dyDescent="0.25"/>
  <cols>
    <col min="1" max="19" width="0" style="48" hidden="1" customWidth="1"/>
    <col min="20" max="26" width="0" style="47" hidden="1" customWidth="1"/>
    <col min="27" max="28" width="2.7109375" style="48" customWidth="1"/>
    <col min="29" max="30" width="13.7109375" style="48" customWidth="1"/>
    <col min="31" max="31" width="2.28515625" style="48" bestFit="1" customWidth="1"/>
    <col min="32" max="33" width="11" style="48" customWidth="1"/>
    <col min="34" max="35" width="2.7109375" style="48" customWidth="1"/>
    <col min="36" max="36" width="9.42578125" style="48" bestFit="1" customWidth="1"/>
    <col min="37" max="37" width="4.5703125" style="48" bestFit="1" customWidth="1"/>
    <col min="38" max="38" width="2.7109375" style="48" customWidth="1"/>
    <col min="39" max="39" width="9" style="48" customWidth="1"/>
    <col min="40" max="40" width="2.7109375" style="48" customWidth="1"/>
    <col min="41" max="41" width="9" style="48" customWidth="1"/>
    <col min="42" max="42" width="2.7109375" style="48" customWidth="1"/>
    <col min="43" max="43" width="9" style="48" customWidth="1"/>
    <col min="44" max="44" width="2.7109375" style="48" customWidth="1"/>
    <col min="45" max="45" width="4.5703125" style="48" bestFit="1" customWidth="1"/>
    <col min="46" max="46" width="9.42578125" style="48" bestFit="1" customWidth="1"/>
    <col min="47" max="47" width="4.5703125" style="48" bestFit="1" customWidth="1"/>
    <col min="48" max="48" width="2.7109375" style="48" customWidth="1"/>
    <col min="49" max="49" width="9" style="48" customWidth="1"/>
    <col min="50" max="50" width="2.7109375" style="48" customWidth="1"/>
    <col min="51" max="51" width="9" style="48" customWidth="1"/>
    <col min="52" max="52" width="2.7109375" style="48" customWidth="1"/>
    <col min="53" max="53" width="9" style="48" customWidth="1"/>
    <col min="54" max="54" width="2.7109375" style="48" customWidth="1"/>
    <col min="55" max="55" width="4.5703125" style="48" bestFit="1" customWidth="1"/>
    <col min="56" max="56" width="9.42578125" style="48" bestFit="1" customWidth="1"/>
    <col min="57" max="58" width="2.7109375" style="48" customWidth="1"/>
    <col min="59" max="60" width="13.7109375" style="48" customWidth="1"/>
    <col min="61" max="61" width="2.42578125" style="48" bestFit="1" customWidth="1"/>
    <col min="62" max="63" width="11" style="48" customWidth="1"/>
    <col min="64" max="64" width="2.7109375" style="48" customWidth="1"/>
    <col min="65" max="65" width="11" style="48" customWidth="1"/>
    <col min="66" max="16384" width="11.42578125" style="48"/>
  </cols>
  <sheetData>
    <row r="52" spans="28:64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20"/>
      <c r="AL52" s="10" t="s">
        <v>1</v>
      </c>
      <c r="AM52" s="20"/>
      <c r="AN52" s="10"/>
      <c r="AO52" s="20"/>
      <c r="AP52" s="20"/>
      <c r="AQ52" s="20"/>
      <c r="AR52" s="102" t="s">
        <v>2</v>
      </c>
      <c r="AS52" s="102"/>
      <c r="AT52" s="102"/>
      <c r="AU52" s="102"/>
      <c r="AV52" s="102"/>
      <c r="AW52" s="20"/>
      <c r="AX52" s="20"/>
      <c r="AY52" s="20"/>
      <c r="AZ52" s="21"/>
      <c r="BA52" s="20"/>
      <c r="BB52" s="21" t="s">
        <v>3</v>
      </c>
      <c r="BC52" s="20"/>
      <c r="BD52" s="17"/>
      <c r="BE52" s="2"/>
      <c r="BF52" s="22"/>
      <c r="BG52" s="23"/>
      <c r="BH52" s="22"/>
      <c r="BI52" s="22"/>
      <c r="BJ52" s="22"/>
      <c r="BK52" s="22"/>
      <c r="BL52" s="22"/>
    </row>
    <row r="53" spans="28:64" ht="15.75" thickBot="1" x14ac:dyDescent="0.3">
      <c r="AB53" s="1"/>
      <c r="AC53" s="53"/>
      <c r="AD53" s="112"/>
      <c r="AE53" s="112"/>
      <c r="AF53" s="112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25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6"/>
      <c r="BG53" s="55" t="s">
        <v>4</v>
      </c>
      <c r="BH53" s="83" t="s">
        <v>42</v>
      </c>
      <c r="BI53" s="4"/>
      <c r="BJ53" s="4"/>
      <c r="BK53" s="4"/>
      <c r="BL53" s="26"/>
    </row>
    <row r="54" spans="28:64" ht="15.75" thickBot="1" x14ac:dyDescent="0.3">
      <c r="AB54" s="1"/>
      <c r="AC54" s="5" t="s">
        <v>5</v>
      </c>
      <c r="AD54" s="103">
        <v>45815</v>
      </c>
      <c r="AE54" s="104"/>
      <c r="AF54" s="105"/>
      <c r="AG54" s="54">
        <f>IF(shiftDate&lt;&gt;"",AD54-DATE(YEAR(AD54),1,0),"")</f>
        <v>158</v>
      </c>
      <c r="AH54" s="1"/>
      <c r="AI54" s="2"/>
      <c r="AJ54" s="17"/>
      <c r="AK54" s="1"/>
      <c r="AL54" s="1"/>
      <c r="AM54" s="1"/>
      <c r="AN54" s="28"/>
      <c r="AO54" s="29"/>
      <c r="AP54" s="30"/>
      <c r="AQ54" s="1"/>
      <c r="AR54" s="1"/>
      <c r="AS54" s="31"/>
      <c r="AT54" s="25"/>
      <c r="AU54" s="32"/>
      <c r="AV54" s="1"/>
      <c r="AW54" s="1"/>
      <c r="AX54" s="28"/>
      <c r="AY54" s="29"/>
      <c r="AZ54" s="30"/>
      <c r="BA54" s="1"/>
      <c r="BB54" s="1"/>
      <c r="BC54" s="1"/>
      <c r="BD54" s="17"/>
      <c r="BE54" s="2"/>
      <c r="BF54" s="26"/>
      <c r="BG54" s="55" t="s">
        <v>6</v>
      </c>
      <c r="BH54" s="81" t="s">
        <v>7</v>
      </c>
      <c r="BI54" s="4"/>
      <c r="BJ54" s="4"/>
      <c r="BK54" s="4"/>
      <c r="BL54" s="26"/>
    </row>
    <row r="55" spans="28:64" ht="15.75" thickBot="1" x14ac:dyDescent="0.3">
      <c r="AB55" s="1"/>
      <c r="AC55" s="80" t="str">
        <f>IF(shiftDate&lt;&gt;"",CONCATENATE(TEXT(AD54,"JJMMAA"),"_",shiftVaccation,"_",SUBSTITUTE(shiftOperateur," ","")),"")</f>
        <v>070625_Après-Midi_LombricNau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33"/>
      <c r="AO55" s="91">
        <v>29</v>
      </c>
      <c r="AP55" s="34"/>
      <c r="AQ55" s="1"/>
      <c r="AR55" s="1"/>
      <c r="AS55" s="31"/>
      <c r="AT55" s="90">
        <v>0.31</v>
      </c>
      <c r="AU55" s="32"/>
      <c r="AV55" s="1"/>
      <c r="AW55" s="1"/>
      <c r="AX55" s="33"/>
      <c r="AY55" s="91">
        <v>26.7</v>
      </c>
      <c r="AZ55" s="34"/>
      <c r="BA55" s="35" t="s">
        <v>8</v>
      </c>
      <c r="BB55" s="1"/>
      <c r="BC55" s="1"/>
      <c r="BD55" s="17"/>
      <c r="BE55" s="2"/>
      <c r="BF55" s="26"/>
      <c r="BG55" s="55" t="s">
        <v>9</v>
      </c>
      <c r="BH55" s="82">
        <v>3</v>
      </c>
      <c r="BI55" s="4"/>
      <c r="BJ55" s="4"/>
      <c r="BK55" s="4"/>
      <c r="BL55" s="26"/>
    </row>
    <row r="56" spans="28:64" ht="15.75" thickBot="1" x14ac:dyDescent="0.3">
      <c r="AB56" s="1"/>
      <c r="AC56" s="5" t="s">
        <v>10</v>
      </c>
      <c r="AD56" s="106" t="s">
        <v>60</v>
      </c>
      <c r="AE56" s="107"/>
      <c r="AF56" s="108"/>
      <c r="AG56" s="12"/>
      <c r="AH56" s="1"/>
      <c r="AI56" s="2"/>
      <c r="AJ56" s="17"/>
      <c r="AK56" s="1"/>
      <c r="AL56" s="1"/>
      <c r="AM56" s="5" t="s">
        <v>11</v>
      </c>
      <c r="AN56" s="33"/>
      <c r="AO56" s="92">
        <v>32</v>
      </c>
      <c r="AP56" s="34"/>
      <c r="AQ56" s="1"/>
      <c r="AR56" s="1"/>
      <c r="AS56" s="36"/>
      <c r="AT56" s="37"/>
      <c r="AU56" s="38"/>
      <c r="AV56" s="1"/>
      <c r="AW56" s="1"/>
      <c r="AX56" s="33"/>
      <c r="AY56" s="92">
        <v>25</v>
      </c>
      <c r="AZ56" s="34"/>
      <c r="BA56" s="35" t="s">
        <v>11</v>
      </c>
      <c r="BB56" s="1"/>
      <c r="BC56" s="1"/>
      <c r="BD56" s="17"/>
      <c r="BE56" s="2"/>
      <c r="BF56" s="26"/>
      <c r="BG56" s="55" t="s">
        <v>43</v>
      </c>
      <c r="BH56" s="82">
        <v>0</v>
      </c>
      <c r="BI56" s="4"/>
      <c r="BJ56" s="4"/>
      <c r="BK56" s="4"/>
      <c r="BL56" s="26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33"/>
      <c r="AO57" s="93"/>
      <c r="AP57" s="34"/>
      <c r="AQ57" s="1"/>
      <c r="AR57" s="1"/>
      <c r="AS57" s="89"/>
      <c r="AT57" s="89"/>
      <c r="AU57" s="89"/>
      <c r="AV57" s="1"/>
      <c r="AW57" s="1"/>
      <c r="AX57" s="33"/>
      <c r="AY57" s="93">
        <v>28.7</v>
      </c>
      <c r="AZ57" s="34"/>
      <c r="BA57" s="35" t="s">
        <v>12</v>
      </c>
      <c r="BB57" s="1"/>
      <c r="BC57" s="1"/>
      <c r="BD57" s="17"/>
      <c r="BE57" s="2"/>
      <c r="BF57" s="26"/>
      <c r="BG57" s="55" t="s">
        <v>13</v>
      </c>
      <c r="BH57" s="81" t="s">
        <v>7</v>
      </c>
      <c r="BI57" s="4"/>
      <c r="BJ57" s="4"/>
      <c r="BK57" s="4"/>
      <c r="BL57" s="26"/>
    </row>
    <row r="58" spans="28:64" ht="15.75" thickBot="1" x14ac:dyDescent="0.25">
      <c r="AB58" s="1"/>
      <c r="AC58" s="5" t="s">
        <v>14</v>
      </c>
      <c r="AD58" s="51" t="s">
        <v>56</v>
      </c>
      <c r="AE58" s="12"/>
      <c r="AF58" s="52">
        <v>0.33333333333333331</v>
      </c>
      <c r="AG58" s="54">
        <f>IF(AF58&lt;&gt;"",AF58*24*60,"")</f>
        <v>480</v>
      </c>
      <c r="AH58" s="1"/>
      <c r="AI58" s="2"/>
      <c r="AJ58" s="17"/>
      <c r="AK58" s="1"/>
      <c r="AL58" s="1"/>
      <c r="AM58" s="3"/>
      <c r="AN58" s="39"/>
      <c r="AO58" s="97">
        <f>ROUND(AVERAGE(AO55:AO57),2)</f>
        <v>30.5</v>
      </c>
      <c r="AP58" s="41"/>
      <c r="AQ58" s="1"/>
      <c r="AR58" s="1"/>
      <c r="AS58" s="72" t="s">
        <v>77</v>
      </c>
      <c r="AT58" s="90" t="s">
        <v>78</v>
      </c>
      <c r="AU58" s="1"/>
      <c r="AV58" s="1"/>
      <c r="AW58" s="1"/>
      <c r="AX58" s="39"/>
      <c r="AY58" s="97">
        <f>ROUND(AVERAGE(AY55:AY57),2)</f>
        <v>26.8</v>
      </c>
      <c r="AZ58" s="41"/>
      <c r="BA58" s="1"/>
      <c r="BB58" s="1"/>
      <c r="BC58" s="1"/>
      <c r="BD58" s="17"/>
      <c r="BE58" s="2"/>
      <c r="BF58" s="26"/>
      <c r="BG58" s="55" t="s">
        <v>16</v>
      </c>
      <c r="BH58" s="82">
        <v>0</v>
      </c>
      <c r="BI58" s="4"/>
      <c r="BJ58" s="84" t="s">
        <v>41</v>
      </c>
      <c r="BK58" s="86" t="s">
        <v>17</v>
      </c>
      <c r="BL58" s="26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1"/>
      <c r="AR59" s="1"/>
      <c r="AS59" s="1"/>
      <c r="AT59" s="25"/>
      <c r="AU59" s="1"/>
      <c r="AV59" s="1"/>
      <c r="AW59" s="1"/>
      <c r="AX59" s="1"/>
      <c r="AY59" s="1"/>
      <c r="AZ59" s="1"/>
      <c r="BA59" s="1"/>
      <c r="BB59" s="1"/>
      <c r="BC59" s="1"/>
      <c r="BD59" s="17"/>
      <c r="BE59" s="2"/>
      <c r="BF59" s="26"/>
      <c r="BG59" s="55" t="str">
        <f>CONCATENATE("ep &lt; ",BK59)</f>
        <v>ep &lt; 3,5</v>
      </c>
      <c r="BH59" s="82">
        <v>3</v>
      </c>
      <c r="BI59" s="4"/>
      <c r="BJ59" s="85">
        <v>4.2</v>
      </c>
      <c r="BK59" s="87">
        <v>3.5</v>
      </c>
      <c r="BL59" s="26"/>
    </row>
    <row r="60" spans="28:64" ht="15.75" thickBot="1" x14ac:dyDescent="0.3">
      <c r="AB60" s="1"/>
      <c r="AC60" s="111" t="s">
        <v>40</v>
      </c>
      <c r="AD60" s="111"/>
      <c r="AE60" s="12"/>
      <c r="AF60" s="43" t="str">
        <f>IF(AC61="Démarrée","Longueur Enroulée PP","")</f>
        <v/>
      </c>
      <c r="AG60" s="43"/>
      <c r="AH60" s="1"/>
      <c r="AI60" s="2"/>
      <c r="AJ60" s="17"/>
      <c r="AK60" s="20"/>
      <c r="AL60" s="10" t="s">
        <v>36</v>
      </c>
      <c r="AM60" s="20"/>
      <c r="AN60" s="20"/>
      <c r="AO60" s="20"/>
      <c r="AP60" s="20"/>
      <c r="AQ60" s="20"/>
      <c r="AR60" s="20"/>
      <c r="AS60" s="20"/>
      <c r="AT60" s="42"/>
      <c r="AU60" s="20"/>
      <c r="AV60" s="20"/>
      <c r="AW60" s="20"/>
      <c r="AX60" s="20"/>
      <c r="AY60" s="20"/>
      <c r="AZ60" s="20"/>
      <c r="BA60" s="20"/>
      <c r="BB60" s="21" t="s">
        <v>37</v>
      </c>
      <c r="BC60" s="20"/>
      <c r="BD60" s="17"/>
      <c r="BE60" s="2"/>
      <c r="BF60" s="26"/>
      <c r="BG60" s="55"/>
      <c r="BH60" s="4" t="s">
        <v>17</v>
      </c>
      <c r="BI60" s="114" t="s">
        <v>18</v>
      </c>
      <c r="BJ60" s="114"/>
      <c r="BK60" s="4" t="s">
        <v>19</v>
      </c>
      <c r="BL60" s="26"/>
    </row>
    <row r="61" spans="28:64" ht="15.75" thickBot="1" x14ac:dyDescent="0.25">
      <c r="AB61" s="1"/>
      <c r="AC61" s="109" t="s">
        <v>39</v>
      </c>
      <c r="AD61" s="110"/>
      <c r="AE61" s="24"/>
      <c r="AF61" s="133"/>
      <c r="AG61" s="19" t="str">
        <f>IF(AF60&lt;&gt;"","m","")</f>
        <v/>
      </c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88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6"/>
      <c r="BG61" s="55" t="s">
        <v>20</v>
      </c>
      <c r="BH61" s="4">
        <v>20</v>
      </c>
      <c r="BI61" s="114">
        <v>30</v>
      </c>
      <c r="BJ61" s="114"/>
      <c r="BK61" s="4">
        <v>50</v>
      </c>
      <c r="BL61" s="26"/>
    </row>
    <row r="62" spans="28:64" ht="15.75" thickBot="1" x14ac:dyDescent="0.25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8"/>
      <c r="AM62" s="94" t="s">
        <v>79</v>
      </c>
      <c r="AN62" s="30"/>
      <c r="AO62" s="1"/>
      <c r="AP62" s="28"/>
      <c r="AQ62" s="94" t="s">
        <v>80</v>
      </c>
      <c r="AR62" s="30"/>
      <c r="AS62" s="1"/>
      <c r="AT62" s="88"/>
      <c r="AU62" s="1"/>
      <c r="AV62" s="28"/>
      <c r="AW62" s="94" t="s">
        <v>81</v>
      </c>
      <c r="AX62" s="30"/>
      <c r="AY62" s="1"/>
      <c r="AZ62" s="28"/>
      <c r="BA62" s="94" t="s">
        <v>82</v>
      </c>
      <c r="BB62" s="30"/>
      <c r="BC62" s="1"/>
      <c r="BD62" s="17"/>
      <c r="BE62" s="2"/>
      <c r="BF62" s="26"/>
      <c r="BG62" s="55" t="s">
        <v>21</v>
      </c>
      <c r="BH62" s="4">
        <v>0.14000000000000001</v>
      </c>
      <c r="BI62" s="114">
        <v>0.2</v>
      </c>
      <c r="BJ62" s="114"/>
      <c r="BK62" s="4">
        <v>0.35</v>
      </c>
      <c r="BL62" s="26"/>
    </row>
    <row r="63" spans="28:64" ht="15.75" thickBot="1" x14ac:dyDescent="0.3">
      <c r="AB63" s="1"/>
      <c r="AC63" s="111" t="s">
        <v>45</v>
      </c>
      <c r="AD63" s="111"/>
      <c r="AE63" s="12"/>
      <c r="AF63" s="43" t="str">
        <f>IF(AC64="Démarrée","Longueur Enroulée FP","")</f>
        <v>Longueur Enroulée FP</v>
      </c>
      <c r="AG63" s="43"/>
      <c r="AH63" s="1"/>
      <c r="AI63" s="2"/>
      <c r="AJ63" s="17"/>
      <c r="AK63" s="1"/>
      <c r="AL63" s="33"/>
      <c r="AM63" s="90">
        <v>1.0200000000000001E-2</v>
      </c>
      <c r="AN63" s="34"/>
      <c r="AO63" s="1"/>
      <c r="AP63" s="33"/>
      <c r="AQ63" s="90">
        <v>1.0999999999999999E-2</v>
      </c>
      <c r="AR63" s="34"/>
      <c r="AS63" s="1"/>
      <c r="AT63" s="25"/>
      <c r="AU63" s="1"/>
      <c r="AV63" s="33"/>
      <c r="AW63" s="90">
        <v>1.0999999999999999E-2</v>
      </c>
      <c r="AX63" s="34"/>
      <c r="AY63" s="1"/>
      <c r="AZ63" s="33"/>
      <c r="BA63" s="90">
        <v>1.03E-2</v>
      </c>
      <c r="BB63" s="34"/>
      <c r="BC63" s="1"/>
      <c r="BD63" s="17"/>
      <c r="BE63" s="2"/>
      <c r="BF63" s="26"/>
      <c r="BG63" s="55" t="s">
        <v>22</v>
      </c>
      <c r="BH63" s="4">
        <v>72</v>
      </c>
      <c r="BI63" s="114">
        <v>81</v>
      </c>
      <c r="BJ63" s="114"/>
      <c r="BK63" s="4">
        <v>92</v>
      </c>
      <c r="BL63" s="26"/>
    </row>
    <row r="64" spans="28:64" ht="15.75" thickBot="1" x14ac:dyDescent="0.3">
      <c r="AB64" s="1"/>
      <c r="AC64" s="109" t="s">
        <v>117</v>
      </c>
      <c r="AD64" s="110"/>
      <c r="AE64" s="24"/>
      <c r="AF64" s="96">
        <v>12</v>
      </c>
      <c r="AG64" s="19" t="str">
        <f>IF(AF63&lt;&gt;"","m","")</f>
        <v>m</v>
      </c>
      <c r="AH64" s="1"/>
      <c r="AI64" s="2"/>
      <c r="AJ64" s="17"/>
      <c r="AK64" s="1"/>
      <c r="AL64" s="39"/>
      <c r="AM64" s="40"/>
      <c r="AN64" s="41"/>
      <c r="AO64" s="1"/>
      <c r="AP64" s="39"/>
      <c r="AQ64" s="40"/>
      <c r="AR64" s="41"/>
      <c r="AS64" s="1"/>
      <c r="AT64" s="25"/>
      <c r="AU64" s="1"/>
      <c r="AV64" s="39"/>
      <c r="AW64" s="40"/>
      <c r="AX64" s="41"/>
      <c r="AY64" s="1"/>
      <c r="AZ64" s="39"/>
      <c r="BA64" s="40"/>
      <c r="BB64" s="41"/>
      <c r="BC64" s="1"/>
      <c r="BD64" s="17"/>
      <c r="BE64" s="2"/>
      <c r="BF64" s="26"/>
      <c r="BG64" s="55" t="s">
        <v>23</v>
      </c>
      <c r="BH64" s="4">
        <v>8.9999999999999993E-3</v>
      </c>
      <c r="BI64" s="114">
        <v>1.1299999999999999E-2</v>
      </c>
      <c r="BJ64" s="114"/>
      <c r="BK64" s="4">
        <v>1.1900000000000001E-2</v>
      </c>
      <c r="BL64" s="26"/>
    </row>
    <row r="65" spans="28:64" x14ac:dyDescent="0.25">
      <c r="AB65" s="1"/>
      <c r="AC65" s="43"/>
      <c r="AD65" s="43"/>
      <c r="AE65" s="43"/>
      <c r="AF65" s="43"/>
      <c r="AG65" s="43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25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6"/>
      <c r="BG65" s="27"/>
      <c r="BH65" s="26"/>
      <c r="BI65" s="26"/>
      <c r="BJ65" s="26"/>
      <c r="BK65" s="26"/>
      <c r="BL65" s="26"/>
    </row>
    <row r="66" spans="28:64" x14ac:dyDescent="0.25">
      <c r="AB66" s="1"/>
      <c r="AC66" s="100" t="s">
        <v>25</v>
      </c>
      <c r="AD66" s="100"/>
      <c r="AE66" s="100"/>
      <c r="AF66" s="100"/>
      <c r="AG66" s="100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66"/>
      <c r="AC67" s="99"/>
      <c r="AD67" s="99"/>
      <c r="AE67" s="99"/>
      <c r="AF67" s="99"/>
      <c r="AG67" s="99"/>
      <c r="AH67" s="1"/>
      <c r="AI67" s="2"/>
      <c r="AJ67" s="45" t="s">
        <v>38</v>
      </c>
      <c r="AK67" s="46"/>
      <c r="AL67" s="46"/>
      <c r="AM67" s="46"/>
      <c r="AN67" s="46"/>
      <c r="AO67" s="46"/>
      <c r="AP67" s="46"/>
      <c r="AQ67" s="46"/>
      <c r="AR67" s="45"/>
      <c r="AS67" s="46"/>
      <c r="AT67" s="45"/>
      <c r="AU67" s="46"/>
      <c r="AV67" s="46"/>
      <c r="AW67" s="46"/>
      <c r="AX67" s="46"/>
      <c r="AY67" s="46"/>
      <c r="AZ67" s="46"/>
      <c r="BA67" s="46"/>
      <c r="BB67" s="46"/>
      <c r="BC67" s="46"/>
      <c r="BD67" s="45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99"/>
      <c r="AD68" s="99"/>
      <c r="AE68" s="99"/>
      <c r="AF68" s="99"/>
      <c r="AG68" s="99"/>
      <c r="AH68" s="1"/>
      <c r="AI68" s="2"/>
      <c r="AJ68" s="77"/>
      <c r="AK68" s="129">
        <v>1</v>
      </c>
      <c r="AL68" s="126"/>
      <c r="AM68" s="127"/>
      <c r="AN68" s="127"/>
      <c r="AO68" s="127"/>
      <c r="AP68" s="127"/>
      <c r="AQ68" s="127"/>
      <c r="AR68" s="126"/>
      <c r="AS68" s="130">
        <v>1</v>
      </c>
      <c r="AT68" s="78"/>
      <c r="AU68" s="130">
        <v>1</v>
      </c>
      <c r="AV68" s="126"/>
      <c r="AW68" s="127"/>
      <c r="AX68" s="127"/>
      <c r="AY68" s="127"/>
      <c r="AZ68" s="127"/>
      <c r="BA68" s="127"/>
      <c r="BB68" s="128"/>
      <c r="BC68" s="131">
        <v>1</v>
      </c>
      <c r="BD68" s="79"/>
      <c r="BE68" s="2"/>
      <c r="BF68" s="1"/>
      <c r="BG68" s="3"/>
      <c r="BH68" s="1"/>
      <c r="BI68" s="1"/>
      <c r="BJ68" s="4"/>
      <c r="BK68" s="1"/>
      <c r="BL68" s="1"/>
    </row>
    <row r="69" spans="28:64" ht="15.75" thickBot="1" x14ac:dyDescent="0.3">
      <c r="AB69" s="1"/>
      <c r="AC69" s="99"/>
      <c r="AD69" s="99"/>
      <c r="AE69" s="99"/>
      <c r="AF69" s="99"/>
      <c r="AG69" s="99"/>
      <c r="AH69" s="1"/>
      <c r="AI69" s="2"/>
      <c r="AJ69" s="77"/>
      <c r="AK69" s="129">
        <v>2</v>
      </c>
      <c r="AL69" s="126"/>
      <c r="AM69" s="127"/>
      <c r="AN69" s="127"/>
      <c r="AO69" s="127"/>
      <c r="AP69" s="127"/>
      <c r="AQ69" s="127"/>
      <c r="AR69" s="126"/>
      <c r="AS69" s="130">
        <v>2</v>
      </c>
      <c r="AT69" s="78"/>
      <c r="AU69" s="130">
        <v>2</v>
      </c>
      <c r="AV69" s="126"/>
      <c r="AW69" s="127"/>
      <c r="AX69" s="127"/>
      <c r="AY69" s="127"/>
      <c r="AZ69" s="127"/>
      <c r="BA69" s="127"/>
      <c r="BB69" s="128"/>
      <c r="BC69" s="131">
        <v>2</v>
      </c>
      <c r="BD69" s="79"/>
      <c r="BE69" s="2"/>
      <c r="BF69" s="1"/>
      <c r="BG69" s="5" t="s">
        <v>26</v>
      </c>
      <c r="BH69" s="6">
        <v>4321</v>
      </c>
      <c r="BI69" s="1"/>
      <c r="BJ69" s="4"/>
      <c r="BK69" s="1"/>
      <c r="BL69" s="1"/>
    </row>
    <row r="70" spans="28:64" ht="15.75" thickBot="1" x14ac:dyDescent="0.3">
      <c r="AB70" s="1"/>
      <c r="AC70" s="99"/>
      <c r="AD70" s="99"/>
      <c r="AE70" s="99"/>
      <c r="AF70" s="99"/>
      <c r="AG70" s="99"/>
      <c r="AH70" s="1"/>
      <c r="AI70" s="2"/>
      <c r="AJ70" s="77"/>
      <c r="AK70" s="129">
        <v>3</v>
      </c>
      <c r="AL70" s="126"/>
      <c r="AM70" s="98">
        <v>6.66</v>
      </c>
      <c r="AN70" s="127"/>
      <c r="AO70" s="98">
        <v>6.11</v>
      </c>
      <c r="AP70" s="127"/>
      <c r="AQ70" s="98">
        <v>6.25</v>
      </c>
      <c r="AR70" s="126"/>
      <c r="AS70" s="130">
        <v>3</v>
      </c>
      <c r="AT70" s="78"/>
      <c r="AU70" s="130">
        <v>3</v>
      </c>
      <c r="AV70" s="126"/>
      <c r="AW70" s="98">
        <v>5</v>
      </c>
      <c r="AX70" s="127"/>
      <c r="AY70" s="98">
        <v>5.56</v>
      </c>
      <c r="AZ70" s="127"/>
      <c r="BA70" s="98">
        <v>6.08</v>
      </c>
      <c r="BB70" s="128"/>
      <c r="BC70" s="131">
        <v>3</v>
      </c>
      <c r="BD70" s="79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99"/>
      <c r="AD71" s="99"/>
      <c r="AE71" s="99"/>
      <c r="AF71" s="99"/>
      <c r="AG71" s="99"/>
      <c r="AH71" s="1"/>
      <c r="AI71" s="2"/>
      <c r="AJ71" s="77"/>
      <c r="AK71" s="129">
        <v>4</v>
      </c>
      <c r="AL71" s="126"/>
      <c r="AM71" s="132"/>
      <c r="AN71" s="127"/>
      <c r="AO71" s="132"/>
      <c r="AP71" s="127"/>
      <c r="AQ71" s="132"/>
      <c r="AR71" s="126"/>
      <c r="AS71" s="130">
        <v>4</v>
      </c>
      <c r="AT71" s="78"/>
      <c r="AU71" s="130">
        <v>4</v>
      </c>
      <c r="AV71" s="126"/>
      <c r="AW71" s="132"/>
      <c r="AX71" s="127"/>
      <c r="AY71" s="132"/>
      <c r="AZ71" s="127"/>
      <c r="BA71" s="132"/>
      <c r="BB71" s="128"/>
      <c r="BC71" s="131">
        <v>4</v>
      </c>
      <c r="BD71" s="79"/>
      <c r="BE71" s="2"/>
      <c r="BF71" s="1"/>
      <c r="BG71" s="5" t="s">
        <v>27</v>
      </c>
      <c r="BH71" s="6">
        <v>32</v>
      </c>
      <c r="BI71" s="19"/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77"/>
      <c r="AK72" s="129">
        <v>5</v>
      </c>
      <c r="AL72" s="126"/>
      <c r="AM72" s="127"/>
      <c r="AN72" s="127"/>
      <c r="AO72" s="127"/>
      <c r="AP72" s="127"/>
      <c r="AQ72" s="127"/>
      <c r="AR72" s="126"/>
      <c r="AS72" s="130">
        <v>5</v>
      </c>
      <c r="AT72" s="78"/>
      <c r="AU72" s="130">
        <v>5</v>
      </c>
      <c r="AV72" s="126"/>
      <c r="AW72" s="127"/>
      <c r="AX72" s="127"/>
      <c r="AY72" s="127"/>
      <c r="AZ72" s="127"/>
      <c r="BA72" s="127"/>
      <c r="BB72" s="128"/>
      <c r="BC72" s="131">
        <v>5</v>
      </c>
      <c r="BD72" s="79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77"/>
      <c r="AK73" s="129">
        <v>6</v>
      </c>
      <c r="AL73" s="126"/>
      <c r="AM73" s="127"/>
      <c r="AN73" s="127"/>
      <c r="AO73" s="127"/>
      <c r="AP73" s="127"/>
      <c r="AQ73" s="127"/>
      <c r="AR73" s="126"/>
      <c r="AS73" s="130">
        <v>6</v>
      </c>
      <c r="AT73" s="78"/>
      <c r="AU73" s="130">
        <v>6</v>
      </c>
      <c r="AV73" s="126"/>
      <c r="AW73" s="127"/>
      <c r="AX73" s="127"/>
      <c r="AY73" s="127"/>
      <c r="AZ73" s="127"/>
      <c r="BA73" s="127"/>
      <c r="BB73" s="128"/>
      <c r="BC73" s="131">
        <v>6</v>
      </c>
      <c r="BD73" s="79"/>
      <c r="BE73" s="2"/>
      <c r="BF73" s="1"/>
      <c r="BG73" s="5" t="s">
        <v>28</v>
      </c>
      <c r="BH73" s="6">
        <v>9999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77"/>
      <c r="AK74" s="129">
        <v>7</v>
      </c>
      <c r="AL74" s="126"/>
      <c r="AM74" s="127"/>
      <c r="AN74" s="127"/>
      <c r="AO74" s="127"/>
      <c r="AP74" s="127"/>
      <c r="AQ74" s="127"/>
      <c r="AR74" s="126"/>
      <c r="AS74" s="130">
        <v>7</v>
      </c>
      <c r="AT74" s="78"/>
      <c r="AU74" s="130">
        <v>7</v>
      </c>
      <c r="AV74" s="126"/>
      <c r="AW74" s="127"/>
      <c r="AX74" s="127"/>
      <c r="AY74" s="127"/>
      <c r="AZ74" s="127"/>
      <c r="BA74" s="127"/>
      <c r="BB74" s="128"/>
      <c r="BC74" s="131">
        <v>7</v>
      </c>
      <c r="BD74" s="79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1"/>
      <c r="AD75" s="1"/>
      <c r="AE75" s="1"/>
      <c r="AF75" s="1"/>
      <c r="AG75" s="1"/>
      <c r="AH75" s="1"/>
      <c r="AI75" s="2"/>
      <c r="AJ75" s="77"/>
      <c r="AK75" s="129">
        <v>8</v>
      </c>
      <c r="AL75" s="126"/>
      <c r="AM75" s="98">
        <v>5.33</v>
      </c>
      <c r="AN75" s="127"/>
      <c r="AO75" s="98">
        <v>5.37</v>
      </c>
      <c r="AP75" s="127"/>
      <c r="AQ75" s="98">
        <v>6.88</v>
      </c>
      <c r="AR75" s="126"/>
      <c r="AS75" s="130">
        <v>8</v>
      </c>
      <c r="AT75" s="78"/>
      <c r="AU75" s="130">
        <v>8</v>
      </c>
      <c r="AV75" s="126"/>
      <c r="AW75" s="98">
        <v>6.85</v>
      </c>
      <c r="AX75" s="127"/>
      <c r="AY75" s="98">
        <v>4.57</v>
      </c>
      <c r="AZ75" s="127"/>
      <c r="BA75" s="98">
        <v>6.3</v>
      </c>
      <c r="BB75" s="128"/>
      <c r="BC75" s="131">
        <v>8</v>
      </c>
      <c r="BD75" s="79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1"/>
      <c r="AD76" s="1"/>
      <c r="AE76" s="1"/>
      <c r="AF76" s="1"/>
      <c r="AG76" s="1"/>
      <c r="AH76" s="1"/>
      <c r="AI76" s="2"/>
      <c r="AJ76" s="77"/>
      <c r="AK76" s="129">
        <v>9</v>
      </c>
      <c r="AL76" s="126"/>
      <c r="AM76" s="132"/>
      <c r="AN76" s="127"/>
      <c r="AO76" s="132"/>
      <c r="AP76" s="127"/>
      <c r="AQ76" s="132"/>
      <c r="AR76" s="126"/>
      <c r="AS76" s="130">
        <v>9</v>
      </c>
      <c r="AT76" s="78"/>
      <c r="AU76" s="130">
        <v>9</v>
      </c>
      <c r="AV76" s="126"/>
      <c r="AW76" s="132"/>
      <c r="AX76" s="127"/>
      <c r="AY76" s="132"/>
      <c r="AZ76" s="127"/>
      <c r="BA76" s="132"/>
      <c r="BB76" s="128"/>
      <c r="BC76" s="131">
        <v>9</v>
      </c>
      <c r="BD76" s="79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1"/>
      <c r="AD77" s="1"/>
      <c r="AE77" s="1"/>
      <c r="AF77" s="1"/>
      <c r="AG77" s="1"/>
      <c r="AH77" s="1"/>
      <c r="AI77" s="2"/>
      <c r="AJ77" s="77"/>
      <c r="AK77" s="129">
        <v>10</v>
      </c>
      <c r="AL77" s="126"/>
      <c r="AM77" s="127"/>
      <c r="AN77" s="127"/>
      <c r="AO77" s="127"/>
      <c r="AP77" s="127"/>
      <c r="AQ77" s="127"/>
      <c r="AR77" s="126"/>
      <c r="AS77" s="130">
        <v>10</v>
      </c>
      <c r="AT77" s="78"/>
      <c r="AU77" s="130">
        <v>10</v>
      </c>
      <c r="AV77" s="126"/>
      <c r="AW77" s="127"/>
      <c r="AX77" s="127"/>
      <c r="AY77" s="127"/>
      <c r="AZ77" s="127"/>
      <c r="BA77" s="127"/>
      <c r="BB77" s="128"/>
      <c r="BC77" s="131">
        <v>10</v>
      </c>
      <c r="BD77" s="79"/>
      <c r="BE77" s="2"/>
      <c r="BF77" s="1"/>
      <c r="BG77" s="3"/>
      <c r="BH77" s="1"/>
      <c r="BI77" s="1"/>
      <c r="BJ77" s="100" t="s">
        <v>30</v>
      </c>
      <c r="BK77" s="100"/>
      <c r="BL77" s="1"/>
    </row>
    <row r="78" spans="28:64" ht="15.75" thickBot="1" x14ac:dyDescent="0.3">
      <c r="AB78" s="1"/>
      <c r="AC78" s="1"/>
      <c r="AD78" s="1"/>
      <c r="AE78" s="1"/>
      <c r="AF78" s="1"/>
      <c r="AG78" s="1"/>
      <c r="AH78" s="1"/>
      <c r="AI78" s="2"/>
      <c r="AJ78" s="77"/>
      <c r="AK78" s="129">
        <v>11</v>
      </c>
      <c r="AL78" s="126"/>
      <c r="AM78" s="127"/>
      <c r="AN78" s="127"/>
      <c r="AO78" s="127"/>
      <c r="AP78" s="127"/>
      <c r="AQ78" s="127"/>
      <c r="AR78" s="126"/>
      <c r="AS78" s="130">
        <v>11</v>
      </c>
      <c r="AT78" s="78"/>
      <c r="AU78" s="130">
        <v>11</v>
      </c>
      <c r="AV78" s="126"/>
      <c r="AW78" s="127"/>
      <c r="AX78" s="127"/>
      <c r="AY78" s="127"/>
      <c r="AZ78" s="127"/>
      <c r="BA78" s="127"/>
      <c r="BB78" s="128"/>
      <c r="BC78" s="131">
        <v>11</v>
      </c>
      <c r="BD78" s="79"/>
      <c r="BE78" s="2"/>
      <c r="BF78" s="1"/>
      <c r="BG78" s="5" t="s">
        <v>31</v>
      </c>
      <c r="BH78" s="6">
        <v>35</v>
      </c>
      <c r="BI78" s="1"/>
      <c r="BJ78" s="101" t="str">
        <f>IF(COUNTIF(BK85:BK86,TRUE)=2,"CONFORME","NON CONFORME")</f>
        <v>CONFORME</v>
      </c>
      <c r="BK78" s="101"/>
      <c r="BL78" s="1"/>
    </row>
    <row r="79" spans="28:64" ht="15.75" thickBot="1" x14ac:dyDescent="0.3">
      <c r="AB79" s="1"/>
      <c r="AC79" s="1"/>
      <c r="AD79" s="1"/>
      <c r="AE79" s="1"/>
      <c r="AF79" s="1"/>
      <c r="AG79" s="1"/>
      <c r="AH79" s="1"/>
      <c r="AI79" s="2"/>
      <c r="AJ79" s="77"/>
      <c r="AK79" s="129">
        <v>12</v>
      </c>
      <c r="AL79" s="126"/>
      <c r="AM79" s="127"/>
      <c r="AN79" s="127"/>
      <c r="AO79" s="127"/>
      <c r="AP79" s="127"/>
      <c r="AQ79" s="127"/>
      <c r="AR79" s="126"/>
      <c r="AS79" s="130">
        <v>12</v>
      </c>
      <c r="AT79" s="78"/>
      <c r="AU79" s="130">
        <v>12</v>
      </c>
      <c r="AV79" s="126"/>
      <c r="AW79" s="127"/>
      <c r="AX79" s="127"/>
      <c r="AY79" s="127"/>
      <c r="AZ79" s="127"/>
      <c r="BA79" s="127"/>
      <c r="BB79" s="128"/>
      <c r="BC79" s="131">
        <v>12</v>
      </c>
      <c r="BD79" s="79"/>
      <c r="BE79" s="2"/>
      <c r="BF79" s="13"/>
      <c r="BG79" s="75">
        <f>IF(productRollStatus="CONFORME",OFNumber,CutOFNumber)</f>
        <v>4321</v>
      </c>
      <c r="BH79" s="14" t="str">
        <f>IF(BJ78="CONFORME",CONCATENATE(OFNumber,"-",BH78),"")</f>
        <v>4321-35</v>
      </c>
      <c r="BI79" s="1"/>
      <c r="BJ79" s="101"/>
      <c r="BK79" s="101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77"/>
      <c r="AK80" s="129">
        <v>13</v>
      </c>
      <c r="AL80" s="126"/>
      <c r="AM80" s="98">
        <v>4.4400000000000004</v>
      </c>
      <c r="AN80" s="127"/>
      <c r="AO80" s="98">
        <v>6.83</v>
      </c>
      <c r="AP80" s="127"/>
      <c r="AQ80" s="98">
        <v>7.01</v>
      </c>
      <c r="AR80" s="126"/>
      <c r="AS80" s="130">
        <v>13</v>
      </c>
      <c r="AT80" s="78"/>
      <c r="AU80" s="130">
        <v>13</v>
      </c>
      <c r="AV80" s="126"/>
      <c r="AW80" s="98">
        <v>5.9</v>
      </c>
      <c r="AX80" s="127"/>
      <c r="AY80" s="98">
        <v>5.35</v>
      </c>
      <c r="AZ80" s="127"/>
      <c r="BA80" s="98">
        <v>6.39</v>
      </c>
      <c r="BB80" s="128"/>
      <c r="BC80" s="131">
        <v>13</v>
      </c>
      <c r="BD80" s="79"/>
      <c r="BE80" s="2"/>
      <c r="BF80" s="1"/>
      <c r="BG80" s="5" t="s">
        <v>32</v>
      </c>
      <c r="BH80" s="67"/>
      <c r="BI80" s="1"/>
      <c r="BJ80" s="115" t="str">
        <f>IF(productRollID&lt;&gt;"",IF(COUNTIF(dataRolls!A:A,productRollID)&gt;0,"Un rouleau avec cet ID existe déjà",""),"")</f>
        <v/>
      </c>
      <c r="BK80" s="115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77"/>
      <c r="AK81" s="129">
        <v>14</v>
      </c>
      <c r="AL81" s="126"/>
      <c r="AM81" s="132"/>
      <c r="AN81" s="127"/>
      <c r="AO81" s="132"/>
      <c r="AP81" s="127"/>
      <c r="AQ81" s="132"/>
      <c r="AR81" s="126"/>
      <c r="AS81" s="130">
        <v>14</v>
      </c>
      <c r="AT81" s="78"/>
      <c r="AU81" s="130">
        <v>14</v>
      </c>
      <c r="AV81" s="126"/>
      <c r="AW81" s="132"/>
      <c r="AX81" s="127"/>
      <c r="AY81" s="132"/>
      <c r="AZ81" s="127"/>
      <c r="BA81" s="132"/>
      <c r="BB81" s="128"/>
      <c r="BC81" s="131">
        <v>14</v>
      </c>
      <c r="BD81" s="79"/>
      <c r="BE81" s="2"/>
      <c r="BF81" s="1"/>
      <c r="BG81" s="5" t="s">
        <v>33</v>
      </c>
      <c r="BH81" s="68"/>
      <c r="BI81" s="15"/>
      <c r="BJ81" s="115"/>
      <c r="BK81" s="115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77"/>
      <c r="AK82" s="129">
        <v>15</v>
      </c>
      <c r="AL82" s="126"/>
      <c r="AM82" s="127"/>
      <c r="AN82" s="127"/>
      <c r="AO82" s="127"/>
      <c r="AP82" s="127"/>
      <c r="AQ82" s="127"/>
      <c r="AR82" s="126"/>
      <c r="AS82" s="130">
        <v>15</v>
      </c>
      <c r="AT82" s="78"/>
      <c r="AU82" s="130">
        <v>15</v>
      </c>
      <c r="AV82" s="126"/>
      <c r="AW82" s="127"/>
      <c r="AX82" s="127"/>
      <c r="AY82" s="127"/>
      <c r="AZ82" s="127"/>
      <c r="BA82" s="127"/>
      <c r="BB82" s="128"/>
      <c r="BC82" s="131">
        <v>15</v>
      </c>
      <c r="BD82" s="79"/>
      <c r="BE82" s="2"/>
      <c r="BF82" s="1"/>
      <c r="BG82" s="5" t="s">
        <v>34</v>
      </c>
      <c r="BH82" s="69">
        <v>32</v>
      </c>
      <c r="BI82" s="1"/>
      <c r="BJ82" s="5" t="s">
        <v>35</v>
      </c>
      <c r="BK82" s="51"/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77"/>
      <c r="AK83" s="129">
        <v>16</v>
      </c>
      <c r="AL83" s="126"/>
      <c r="AM83" s="127"/>
      <c r="AN83" s="127"/>
      <c r="AO83" s="127"/>
      <c r="AP83" s="127"/>
      <c r="AQ83" s="127"/>
      <c r="AR83" s="126"/>
      <c r="AS83" s="130">
        <v>16</v>
      </c>
      <c r="AT83" s="78"/>
      <c r="AU83" s="130">
        <v>16</v>
      </c>
      <c r="AV83" s="126"/>
      <c r="AW83" s="127"/>
      <c r="AX83" s="127"/>
      <c r="AY83" s="127"/>
      <c r="AZ83" s="127"/>
      <c r="BA83" s="127"/>
      <c r="BB83" s="128"/>
      <c r="BC83" s="131">
        <v>16</v>
      </c>
      <c r="BD83" s="79"/>
      <c r="BE83" s="2"/>
      <c r="BF83" s="1"/>
      <c r="BG83" s="72">
        <f>productRollTotalWeight-productRollPipeWeight</f>
        <v>0</v>
      </c>
      <c r="BH83" s="73" t="s">
        <v>66</v>
      </c>
      <c r="BI83" s="25"/>
      <c r="BJ83" s="72">
        <f>BG83/productRollLength</f>
        <v>0</v>
      </c>
      <c r="BK83" s="73" t="s">
        <v>65</v>
      </c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77"/>
      <c r="AK84" s="129">
        <v>17</v>
      </c>
      <c r="AL84" s="126"/>
      <c r="AM84" s="127"/>
      <c r="AN84" s="127"/>
      <c r="AO84" s="127"/>
      <c r="AP84" s="127"/>
      <c r="AQ84" s="127"/>
      <c r="AR84" s="126"/>
      <c r="AS84" s="130">
        <v>17</v>
      </c>
      <c r="AT84" s="78"/>
      <c r="AU84" s="130">
        <v>17</v>
      </c>
      <c r="AV84" s="126"/>
      <c r="AW84" s="127"/>
      <c r="AX84" s="127"/>
      <c r="AY84" s="127"/>
      <c r="AZ84" s="127"/>
      <c r="BA84" s="127"/>
      <c r="BB84" s="128"/>
      <c r="BC84" s="131">
        <v>17</v>
      </c>
      <c r="BD84" s="79"/>
      <c r="BE84" s="2"/>
      <c r="BF84" s="8"/>
      <c r="BG84" s="71"/>
      <c r="BH84" s="70"/>
      <c r="BI84" s="8"/>
      <c r="BJ84" s="71"/>
      <c r="BK84" s="18"/>
      <c r="BL84" s="8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77"/>
      <c r="AK85" s="129">
        <v>18</v>
      </c>
      <c r="AL85" s="126"/>
      <c r="AM85" s="98">
        <v>6.67</v>
      </c>
      <c r="AN85" s="127"/>
      <c r="AO85" s="98">
        <v>4.55</v>
      </c>
      <c r="AP85" s="127"/>
      <c r="AQ85" s="98">
        <v>5.72</v>
      </c>
      <c r="AR85" s="126"/>
      <c r="AS85" s="130">
        <v>18</v>
      </c>
      <c r="AT85" s="78"/>
      <c r="AU85" s="130">
        <v>18</v>
      </c>
      <c r="AV85" s="126"/>
      <c r="AW85" s="98">
        <v>6.47</v>
      </c>
      <c r="AX85" s="127"/>
      <c r="AY85" s="98">
        <v>5.24</v>
      </c>
      <c r="AZ85" s="127"/>
      <c r="BA85" s="98">
        <v>5.29</v>
      </c>
      <c r="BB85" s="128"/>
      <c r="BC85" s="131">
        <v>18</v>
      </c>
      <c r="BD85" s="79"/>
      <c r="BE85" s="2"/>
      <c r="BF85" s="2"/>
      <c r="BG85" s="60"/>
      <c r="BH85" s="16"/>
      <c r="BI85" s="16"/>
      <c r="BJ85" s="16"/>
      <c r="BK85" s="58" t="b">
        <v>1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77"/>
      <c r="AK86" s="129">
        <v>19</v>
      </c>
      <c r="AL86" s="126"/>
      <c r="AM86" s="132"/>
      <c r="AN86" s="127"/>
      <c r="AO86" s="132"/>
      <c r="AP86" s="127"/>
      <c r="AQ86" s="132"/>
      <c r="AR86" s="126"/>
      <c r="AS86" s="130">
        <v>19</v>
      </c>
      <c r="AT86" s="78"/>
      <c r="AU86" s="130">
        <v>19</v>
      </c>
      <c r="AV86" s="126"/>
      <c r="AW86" s="132"/>
      <c r="AX86" s="127"/>
      <c r="AY86" s="132"/>
      <c r="AZ86" s="127"/>
      <c r="BA86" s="132"/>
      <c r="BB86" s="128"/>
      <c r="BC86" s="131">
        <v>19</v>
      </c>
      <c r="BD86" s="79"/>
      <c r="BE86" s="2"/>
      <c r="BF86" s="2"/>
      <c r="BG86" s="60"/>
      <c r="BH86" s="16"/>
      <c r="BI86" s="16"/>
      <c r="BJ86" s="16"/>
      <c r="BK86" s="58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77"/>
      <c r="AK87" s="129">
        <v>20</v>
      </c>
      <c r="AL87" s="126"/>
      <c r="AM87" s="127"/>
      <c r="AN87" s="127"/>
      <c r="AO87" s="127"/>
      <c r="AP87" s="127"/>
      <c r="AQ87" s="127"/>
      <c r="AR87" s="126"/>
      <c r="AS87" s="130">
        <v>20</v>
      </c>
      <c r="AT87" s="78"/>
      <c r="AU87" s="130">
        <v>20</v>
      </c>
      <c r="AV87" s="126"/>
      <c r="AW87" s="127"/>
      <c r="AX87" s="127"/>
      <c r="AY87" s="127"/>
      <c r="AZ87" s="127"/>
      <c r="BA87" s="127"/>
      <c r="BB87" s="128"/>
      <c r="BC87" s="131">
        <v>20</v>
      </c>
      <c r="BD87" s="79"/>
      <c r="BE87" s="2"/>
      <c r="BF87" s="2"/>
      <c r="BG87" s="60"/>
      <c r="BH87" s="16"/>
      <c r="BI87" s="16"/>
      <c r="BJ87" s="16"/>
      <c r="BK87" s="58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77"/>
      <c r="AK88" s="129">
        <v>21</v>
      </c>
      <c r="AL88" s="126"/>
      <c r="AM88" s="127"/>
      <c r="AN88" s="127"/>
      <c r="AO88" s="127"/>
      <c r="AP88" s="127"/>
      <c r="AQ88" s="127"/>
      <c r="AR88" s="126"/>
      <c r="AS88" s="130">
        <v>21</v>
      </c>
      <c r="AT88" s="78"/>
      <c r="AU88" s="130">
        <v>21</v>
      </c>
      <c r="AV88" s="126"/>
      <c r="AW88" s="127"/>
      <c r="AX88" s="127"/>
      <c r="AY88" s="127"/>
      <c r="AZ88" s="127"/>
      <c r="BA88" s="127"/>
      <c r="BB88" s="128"/>
      <c r="BC88" s="131">
        <v>21</v>
      </c>
      <c r="BD88" s="79"/>
      <c r="BE88" s="2"/>
      <c r="BF88" s="2"/>
      <c r="BG88" s="60"/>
      <c r="BH88" s="16"/>
      <c r="BI88" s="16"/>
      <c r="BJ88" s="16"/>
      <c r="BK88" s="58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77"/>
      <c r="AK89" s="129">
        <v>22</v>
      </c>
      <c r="AL89" s="126"/>
      <c r="AM89" s="127"/>
      <c r="AN89" s="127"/>
      <c r="AO89" s="127"/>
      <c r="AP89" s="127"/>
      <c r="AQ89" s="127"/>
      <c r="AR89" s="126"/>
      <c r="AS89" s="130">
        <v>22</v>
      </c>
      <c r="AT89" s="78"/>
      <c r="AU89" s="130">
        <v>22</v>
      </c>
      <c r="AV89" s="126"/>
      <c r="AW89" s="127"/>
      <c r="AX89" s="127"/>
      <c r="AY89" s="127"/>
      <c r="AZ89" s="127"/>
      <c r="BA89" s="127"/>
      <c r="BB89" s="128"/>
      <c r="BC89" s="131">
        <v>22</v>
      </c>
      <c r="BD89" s="79"/>
      <c r="BE89" s="2"/>
      <c r="BF89" s="2"/>
      <c r="BG89" s="56"/>
      <c r="BH89" s="56"/>
      <c r="BI89" s="56"/>
      <c r="BJ89" s="57"/>
      <c r="BK89" s="59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77"/>
      <c r="AK90" s="129">
        <v>23</v>
      </c>
      <c r="AL90" s="126"/>
      <c r="AM90" s="98">
        <v>7.16</v>
      </c>
      <c r="AN90" s="127"/>
      <c r="AO90" s="98">
        <v>6.93</v>
      </c>
      <c r="AP90" s="127"/>
      <c r="AQ90" s="98">
        <v>5.6</v>
      </c>
      <c r="AR90" s="126"/>
      <c r="AS90" s="130">
        <v>23</v>
      </c>
      <c r="AT90" s="78"/>
      <c r="AU90" s="130">
        <v>23</v>
      </c>
      <c r="AV90" s="126"/>
      <c r="AW90" s="98">
        <v>7.06</v>
      </c>
      <c r="AX90" s="127"/>
      <c r="AY90" s="98">
        <v>7.04</v>
      </c>
      <c r="AZ90" s="127"/>
      <c r="BA90" s="98">
        <v>6.29</v>
      </c>
      <c r="BB90" s="128"/>
      <c r="BC90" s="131">
        <v>23</v>
      </c>
      <c r="BD90" s="79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77"/>
      <c r="AK91" s="129">
        <v>24</v>
      </c>
      <c r="AL91" s="126"/>
      <c r="AM91" s="132"/>
      <c r="AN91" s="127"/>
      <c r="AO91" s="132"/>
      <c r="AP91" s="127"/>
      <c r="AQ91" s="132"/>
      <c r="AR91" s="126"/>
      <c r="AS91" s="130">
        <v>24</v>
      </c>
      <c r="AT91" s="78"/>
      <c r="AU91" s="130">
        <v>24</v>
      </c>
      <c r="AV91" s="126"/>
      <c r="AW91" s="132"/>
      <c r="AX91" s="127"/>
      <c r="AY91" s="132"/>
      <c r="AZ91" s="127"/>
      <c r="BA91" s="132"/>
      <c r="BB91" s="128"/>
      <c r="BC91" s="131">
        <v>24</v>
      </c>
      <c r="BD91" s="79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77"/>
      <c r="AK92" s="129">
        <v>25</v>
      </c>
      <c r="AL92" s="126"/>
      <c r="AM92" s="127"/>
      <c r="AN92" s="127"/>
      <c r="AO92" s="127"/>
      <c r="AP92" s="127"/>
      <c r="AQ92" s="127"/>
      <c r="AR92" s="126"/>
      <c r="AS92" s="130">
        <v>25</v>
      </c>
      <c r="AT92" s="78"/>
      <c r="AU92" s="130">
        <v>25</v>
      </c>
      <c r="AV92" s="126"/>
      <c r="AW92" s="127"/>
      <c r="AX92" s="127"/>
      <c r="AY92" s="127"/>
      <c r="AZ92" s="127"/>
      <c r="BA92" s="127"/>
      <c r="BB92" s="128"/>
      <c r="BC92" s="131">
        <v>25</v>
      </c>
      <c r="BD92" s="79"/>
      <c r="BE92" s="2"/>
      <c r="BF92" s="2"/>
      <c r="BG92" s="7" t="s">
        <v>61</v>
      </c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77"/>
      <c r="AK93" s="129">
        <v>26</v>
      </c>
      <c r="AL93" s="126"/>
      <c r="AM93" s="127"/>
      <c r="AN93" s="127"/>
      <c r="AO93" s="127"/>
      <c r="AP93" s="127"/>
      <c r="AQ93" s="127"/>
      <c r="AR93" s="126"/>
      <c r="AS93" s="130">
        <v>26</v>
      </c>
      <c r="AT93" s="78"/>
      <c r="AU93" s="130">
        <v>26</v>
      </c>
      <c r="AV93" s="126"/>
      <c r="AW93" s="127"/>
      <c r="AX93" s="127"/>
      <c r="AY93" s="127"/>
      <c r="AZ93" s="127"/>
      <c r="BA93" s="127"/>
      <c r="BB93" s="128"/>
      <c r="BC93" s="131">
        <v>26</v>
      </c>
      <c r="BD93" s="79"/>
      <c r="BE93" s="2"/>
      <c r="BF93" s="2"/>
      <c r="BG93" s="7" t="str">
        <f>params!E1</f>
        <v>NON</v>
      </c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77"/>
      <c r="AK94" s="129">
        <v>27</v>
      </c>
      <c r="AL94" s="126"/>
      <c r="AM94" s="127"/>
      <c r="AN94" s="127"/>
      <c r="AO94" s="127"/>
      <c r="AP94" s="127"/>
      <c r="AQ94" s="127"/>
      <c r="AR94" s="126"/>
      <c r="AS94" s="130">
        <v>27</v>
      </c>
      <c r="AT94" s="78"/>
      <c r="AU94" s="130">
        <v>27</v>
      </c>
      <c r="AV94" s="126"/>
      <c r="AW94" s="127"/>
      <c r="AX94" s="127"/>
      <c r="AY94" s="127"/>
      <c r="AZ94" s="127"/>
      <c r="BA94" s="127"/>
      <c r="BB94" s="128"/>
      <c r="BC94" s="131">
        <v>27</v>
      </c>
      <c r="BD94" s="79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77"/>
      <c r="AK95" s="129">
        <v>28</v>
      </c>
      <c r="AL95" s="126"/>
      <c r="AM95" s="98">
        <v>7.48</v>
      </c>
      <c r="AN95" s="127"/>
      <c r="AO95" s="98">
        <v>7.19</v>
      </c>
      <c r="AP95" s="127"/>
      <c r="AQ95" s="98">
        <v>4.58</v>
      </c>
      <c r="AR95" s="126"/>
      <c r="AS95" s="130">
        <v>28</v>
      </c>
      <c r="AT95" s="78"/>
      <c r="AU95" s="130">
        <v>28</v>
      </c>
      <c r="AV95" s="126"/>
      <c r="AW95" s="98">
        <v>7.56</v>
      </c>
      <c r="AX95" s="127"/>
      <c r="AY95" s="98">
        <v>7.32</v>
      </c>
      <c r="AZ95" s="127"/>
      <c r="BA95" s="98">
        <v>5.13</v>
      </c>
      <c r="BB95" s="128"/>
      <c r="BC95" s="131">
        <v>28</v>
      </c>
      <c r="BD95" s="79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77"/>
      <c r="AK96" s="129">
        <v>29</v>
      </c>
      <c r="AL96" s="126"/>
      <c r="AM96" s="132"/>
      <c r="AN96" s="127"/>
      <c r="AO96" s="132"/>
      <c r="AP96" s="127"/>
      <c r="AQ96" s="132"/>
      <c r="AR96" s="126"/>
      <c r="AS96" s="130">
        <v>29</v>
      </c>
      <c r="AT96" s="78"/>
      <c r="AU96" s="130">
        <v>29</v>
      </c>
      <c r="AV96" s="126"/>
      <c r="AW96" s="132"/>
      <c r="AX96" s="127"/>
      <c r="AY96" s="132"/>
      <c r="AZ96" s="127"/>
      <c r="BA96" s="132"/>
      <c r="BB96" s="128"/>
      <c r="BC96" s="131">
        <v>29</v>
      </c>
      <c r="BD96" s="79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77"/>
      <c r="AK97" s="129">
        <v>30</v>
      </c>
      <c r="AL97" s="126"/>
      <c r="AM97" s="127"/>
      <c r="AN97" s="127"/>
      <c r="AO97" s="127"/>
      <c r="AP97" s="127"/>
      <c r="AQ97" s="127"/>
      <c r="AR97" s="126"/>
      <c r="AS97" s="130">
        <v>30</v>
      </c>
      <c r="AT97" s="78"/>
      <c r="AU97" s="130">
        <v>30</v>
      </c>
      <c r="AV97" s="126"/>
      <c r="AW97" s="127"/>
      <c r="AX97" s="127"/>
      <c r="AY97" s="127"/>
      <c r="AZ97" s="127"/>
      <c r="BA97" s="127"/>
      <c r="BB97" s="128"/>
      <c r="BC97" s="131">
        <v>30</v>
      </c>
      <c r="BD97" s="79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77"/>
      <c r="AK98" s="129">
        <v>31</v>
      </c>
      <c r="AL98" s="126"/>
      <c r="AM98" s="127"/>
      <c r="AN98" s="127"/>
      <c r="AO98" s="127"/>
      <c r="AP98" s="127"/>
      <c r="AQ98" s="127"/>
      <c r="AR98" s="126"/>
      <c r="AS98" s="130">
        <v>31</v>
      </c>
      <c r="AT98" s="78"/>
      <c r="AU98" s="130">
        <v>31</v>
      </c>
      <c r="AV98" s="126"/>
      <c r="AW98" s="127"/>
      <c r="AX98" s="127"/>
      <c r="AY98" s="127"/>
      <c r="AZ98" s="127"/>
      <c r="BA98" s="127"/>
      <c r="BB98" s="128"/>
      <c r="BC98" s="131">
        <v>31</v>
      </c>
      <c r="BD98" s="79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77"/>
      <c r="AK99" s="129">
        <v>32</v>
      </c>
      <c r="AL99" s="126"/>
      <c r="AM99" s="127"/>
      <c r="AN99" s="127"/>
      <c r="AO99" s="127"/>
      <c r="AP99" s="127"/>
      <c r="AQ99" s="127"/>
      <c r="AR99" s="126"/>
      <c r="AS99" s="130">
        <v>32</v>
      </c>
      <c r="AT99" s="78"/>
      <c r="AU99" s="130">
        <v>32</v>
      </c>
      <c r="AV99" s="126"/>
      <c r="AW99" s="127"/>
      <c r="AX99" s="127"/>
      <c r="AY99" s="127"/>
      <c r="AZ99" s="127"/>
      <c r="BA99" s="127"/>
      <c r="BB99" s="128"/>
      <c r="BC99" s="131">
        <v>32</v>
      </c>
      <c r="BD99" s="79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17"/>
      <c r="AK100" s="118">
        <v>33</v>
      </c>
      <c r="AL100" s="119"/>
      <c r="AM100" s="120"/>
      <c r="AN100" s="119"/>
      <c r="AO100" s="120"/>
      <c r="AP100" s="119"/>
      <c r="AQ100" s="120"/>
      <c r="AR100" s="119"/>
      <c r="AS100" s="121">
        <v>33</v>
      </c>
      <c r="AT100" s="122"/>
      <c r="AU100" s="121">
        <v>33</v>
      </c>
      <c r="AV100" s="119"/>
      <c r="AW100" s="120"/>
      <c r="AX100" s="119"/>
      <c r="AY100" s="120"/>
      <c r="AZ100" s="119"/>
      <c r="BA100" s="120"/>
      <c r="BB100" s="122"/>
      <c r="BC100" s="123">
        <v>33</v>
      </c>
      <c r="BD100" s="124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17"/>
      <c r="AK101" s="118">
        <v>34</v>
      </c>
      <c r="AL101" s="119"/>
      <c r="AM101" s="119"/>
      <c r="AN101" s="119"/>
      <c r="AO101" s="119"/>
      <c r="AP101" s="119"/>
      <c r="AQ101" s="119"/>
      <c r="AR101" s="119"/>
      <c r="AS101" s="121">
        <v>34</v>
      </c>
      <c r="AT101" s="122"/>
      <c r="AU101" s="121">
        <v>34</v>
      </c>
      <c r="AV101" s="119"/>
      <c r="AW101" s="119"/>
      <c r="AX101" s="119"/>
      <c r="AY101" s="119"/>
      <c r="AZ101" s="119"/>
      <c r="BA101" s="119"/>
      <c r="BB101" s="122"/>
      <c r="BC101" s="123">
        <v>34</v>
      </c>
      <c r="BD101" s="124"/>
      <c r="BE101" s="2"/>
      <c r="BF101" s="2"/>
      <c r="BG101" s="113"/>
      <c r="BH101" s="113"/>
      <c r="BI101" s="113"/>
      <c r="BJ101" s="113"/>
      <c r="BK101" s="113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17"/>
      <c r="AK102" s="118">
        <v>35</v>
      </c>
      <c r="AL102" s="119"/>
      <c r="AM102" s="119"/>
      <c r="AN102" s="119"/>
      <c r="AO102" s="119"/>
      <c r="AP102" s="119"/>
      <c r="AQ102" s="119"/>
      <c r="AR102" s="119"/>
      <c r="AS102" s="121">
        <v>35</v>
      </c>
      <c r="AT102" s="122"/>
      <c r="AU102" s="121">
        <v>35</v>
      </c>
      <c r="AV102" s="119"/>
      <c r="AW102" s="119"/>
      <c r="AX102" s="119"/>
      <c r="AY102" s="119"/>
      <c r="AZ102" s="119"/>
      <c r="BA102" s="119"/>
      <c r="BB102" s="122"/>
      <c r="BC102" s="123">
        <v>35</v>
      </c>
      <c r="BD102" s="124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17"/>
      <c r="AK103" s="118">
        <v>36</v>
      </c>
      <c r="AL103" s="119"/>
      <c r="AM103" s="119"/>
      <c r="AN103" s="119"/>
      <c r="AO103" s="119"/>
      <c r="AP103" s="119"/>
      <c r="AQ103" s="119"/>
      <c r="AR103" s="119"/>
      <c r="AS103" s="121">
        <v>36</v>
      </c>
      <c r="AT103" s="122"/>
      <c r="AU103" s="121">
        <v>36</v>
      </c>
      <c r="AV103" s="119"/>
      <c r="AW103" s="119"/>
      <c r="AX103" s="119"/>
      <c r="AY103" s="119"/>
      <c r="AZ103" s="119"/>
      <c r="BA103" s="119"/>
      <c r="BB103" s="122"/>
      <c r="BC103" s="123">
        <v>36</v>
      </c>
      <c r="BD103" s="124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17"/>
      <c r="AK104" s="118">
        <v>37</v>
      </c>
      <c r="AL104" s="119"/>
      <c r="AM104" s="119"/>
      <c r="AN104" s="119"/>
      <c r="AO104" s="119"/>
      <c r="AP104" s="119"/>
      <c r="AQ104" s="119"/>
      <c r="AR104" s="119"/>
      <c r="AS104" s="121">
        <v>37</v>
      </c>
      <c r="AT104" s="122"/>
      <c r="AU104" s="121">
        <v>37</v>
      </c>
      <c r="AV104" s="119"/>
      <c r="AW104" s="119"/>
      <c r="AX104" s="119"/>
      <c r="AY104" s="119"/>
      <c r="AZ104" s="119"/>
      <c r="BA104" s="119"/>
      <c r="BB104" s="122"/>
      <c r="BC104" s="123">
        <v>37</v>
      </c>
      <c r="BD104" s="124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17"/>
      <c r="AK105" s="118">
        <v>38</v>
      </c>
      <c r="AL105" s="119"/>
      <c r="AM105" s="120"/>
      <c r="AN105" s="119"/>
      <c r="AO105" s="120"/>
      <c r="AP105" s="119"/>
      <c r="AQ105" s="120"/>
      <c r="AR105" s="119"/>
      <c r="AS105" s="121">
        <v>38</v>
      </c>
      <c r="AT105" s="122"/>
      <c r="AU105" s="121">
        <v>38</v>
      </c>
      <c r="AV105" s="119"/>
      <c r="AW105" s="120"/>
      <c r="AX105" s="119"/>
      <c r="AY105" s="120"/>
      <c r="AZ105" s="119"/>
      <c r="BA105" s="120"/>
      <c r="BB105" s="122"/>
      <c r="BC105" s="123">
        <v>38</v>
      </c>
      <c r="BD105" s="124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17"/>
      <c r="AK106" s="118">
        <v>39</v>
      </c>
      <c r="AL106" s="119"/>
      <c r="AM106" s="119"/>
      <c r="AN106" s="119"/>
      <c r="AO106" s="119"/>
      <c r="AP106" s="119"/>
      <c r="AQ106" s="119"/>
      <c r="AR106" s="119"/>
      <c r="AS106" s="121">
        <v>39</v>
      </c>
      <c r="AT106" s="122"/>
      <c r="AU106" s="121">
        <v>39</v>
      </c>
      <c r="AV106" s="119"/>
      <c r="AW106" s="119"/>
      <c r="AX106" s="119"/>
      <c r="AY106" s="119"/>
      <c r="AZ106" s="119"/>
      <c r="BA106" s="119"/>
      <c r="BB106" s="122"/>
      <c r="BC106" s="123">
        <v>39</v>
      </c>
      <c r="BD106" s="124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17"/>
      <c r="AK107" s="118">
        <v>40</v>
      </c>
      <c r="AL107" s="119"/>
      <c r="AM107" s="119"/>
      <c r="AN107" s="119"/>
      <c r="AO107" s="119"/>
      <c r="AP107" s="119"/>
      <c r="AQ107" s="119"/>
      <c r="AR107" s="119"/>
      <c r="AS107" s="121">
        <v>40</v>
      </c>
      <c r="AT107" s="122"/>
      <c r="AU107" s="121">
        <v>40</v>
      </c>
      <c r="AV107" s="119"/>
      <c r="AW107" s="119"/>
      <c r="AX107" s="119"/>
      <c r="AY107" s="119"/>
      <c r="AZ107" s="119"/>
      <c r="BA107" s="119"/>
      <c r="BB107" s="122"/>
      <c r="BC107" s="123">
        <v>40</v>
      </c>
      <c r="BD107" s="124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17"/>
      <c r="AK108" s="118">
        <v>41</v>
      </c>
      <c r="AL108" s="119"/>
      <c r="AM108" s="119"/>
      <c r="AN108" s="119"/>
      <c r="AO108" s="119"/>
      <c r="AP108" s="119"/>
      <c r="AQ108" s="119"/>
      <c r="AR108" s="119"/>
      <c r="AS108" s="121">
        <v>41</v>
      </c>
      <c r="AT108" s="122"/>
      <c r="AU108" s="121">
        <v>41</v>
      </c>
      <c r="AV108" s="119"/>
      <c r="AW108" s="119"/>
      <c r="AX108" s="119"/>
      <c r="AY108" s="119"/>
      <c r="AZ108" s="119"/>
      <c r="BA108" s="119"/>
      <c r="BB108" s="122"/>
      <c r="BC108" s="123">
        <v>41</v>
      </c>
      <c r="BD108" s="124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17"/>
      <c r="AK109" s="118">
        <v>42</v>
      </c>
      <c r="AL109" s="119"/>
      <c r="AM109" s="119"/>
      <c r="AN109" s="119"/>
      <c r="AO109" s="119"/>
      <c r="AP109" s="119"/>
      <c r="AQ109" s="119"/>
      <c r="AR109" s="119"/>
      <c r="AS109" s="121">
        <v>42</v>
      </c>
      <c r="AT109" s="122"/>
      <c r="AU109" s="121">
        <v>42</v>
      </c>
      <c r="AV109" s="119"/>
      <c r="AW109" s="119"/>
      <c r="AX109" s="119"/>
      <c r="AY109" s="119"/>
      <c r="AZ109" s="119"/>
      <c r="BA109" s="119"/>
      <c r="BB109" s="122"/>
      <c r="BC109" s="123">
        <v>42</v>
      </c>
      <c r="BD109" s="124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17"/>
      <c r="AK110" s="118">
        <v>43</v>
      </c>
      <c r="AL110" s="119"/>
      <c r="AM110" s="120"/>
      <c r="AN110" s="119"/>
      <c r="AO110" s="120"/>
      <c r="AP110" s="119"/>
      <c r="AQ110" s="120"/>
      <c r="AR110" s="119"/>
      <c r="AS110" s="121">
        <v>43</v>
      </c>
      <c r="AT110" s="122"/>
      <c r="AU110" s="121">
        <v>43</v>
      </c>
      <c r="AV110" s="119"/>
      <c r="AW110" s="120"/>
      <c r="AX110" s="119"/>
      <c r="AY110" s="120"/>
      <c r="AZ110" s="119"/>
      <c r="BA110" s="120"/>
      <c r="BB110" s="122"/>
      <c r="BC110" s="123">
        <v>43</v>
      </c>
      <c r="BD110" s="124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17"/>
      <c r="AK111" s="118">
        <v>44</v>
      </c>
      <c r="AL111" s="119"/>
      <c r="AM111" s="119"/>
      <c r="AN111" s="119"/>
      <c r="AO111" s="119"/>
      <c r="AP111" s="119"/>
      <c r="AQ111" s="119"/>
      <c r="AR111" s="119"/>
      <c r="AS111" s="121">
        <v>44</v>
      </c>
      <c r="AT111" s="122"/>
      <c r="AU111" s="121">
        <v>44</v>
      </c>
      <c r="AV111" s="119"/>
      <c r="AW111" s="119"/>
      <c r="AX111" s="119"/>
      <c r="AY111" s="119"/>
      <c r="AZ111" s="119"/>
      <c r="BA111" s="119"/>
      <c r="BB111" s="122"/>
      <c r="BC111" s="123">
        <v>44</v>
      </c>
      <c r="BD111" s="124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17"/>
      <c r="AK112" s="118">
        <v>45</v>
      </c>
      <c r="AL112" s="119"/>
      <c r="AM112" s="119"/>
      <c r="AN112" s="119"/>
      <c r="AO112" s="119"/>
      <c r="AP112" s="119"/>
      <c r="AQ112" s="119"/>
      <c r="AR112" s="119"/>
      <c r="AS112" s="121">
        <v>45</v>
      </c>
      <c r="AT112" s="122"/>
      <c r="AU112" s="121">
        <v>45</v>
      </c>
      <c r="AV112" s="119"/>
      <c r="AW112" s="119"/>
      <c r="AX112" s="119"/>
      <c r="AY112" s="119"/>
      <c r="AZ112" s="119"/>
      <c r="BA112" s="119"/>
      <c r="BB112" s="122"/>
      <c r="BC112" s="123">
        <v>45</v>
      </c>
      <c r="BD112" s="124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17"/>
      <c r="AK113" s="118">
        <v>46</v>
      </c>
      <c r="AL113" s="119"/>
      <c r="AM113" s="120"/>
      <c r="AN113" s="119"/>
      <c r="AO113" s="120"/>
      <c r="AP113" s="119"/>
      <c r="AQ113" s="120"/>
      <c r="AR113" s="119"/>
      <c r="AS113" s="121">
        <v>46</v>
      </c>
      <c r="AT113" s="122"/>
      <c r="AU113" s="121">
        <v>46</v>
      </c>
      <c r="AV113" s="119"/>
      <c r="AW113" s="120"/>
      <c r="AX113" s="119"/>
      <c r="AY113" s="120"/>
      <c r="AZ113" s="119"/>
      <c r="BA113" s="120"/>
      <c r="BB113" s="122"/>
      <c r="BC113" s="123">
        <v>46</v>
      </c>
      <c r="BD113" s="124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17"/>
      <c r="AK114" s="118">
        <v>47</v>
      </c>
      <c r="AL114" s="119"/>
      <c r="AM114" s="119"/>
      <c r="AN114" s="119"/>
      <c r="AO114" s="119"/>
      <c r="AP114" s="119"/>
      <c r="AQ114" s="119"/>
      <c r="AR114" s="119"/>
      <c r="AS114" s="121">
        <v>47</v>
      </c>
      <c r="AT114" s="122"/>
      <c r="AU114" s="121">
        <v>47</v>
      </c>
      <c r="AV114" s="119"/>
      <c r="AW114" s="119"/>
      <c r="AX114" s="119"/>
      <c r="AY114" s="119"/>
      <c r="AZ114" s="119"/>
      <c r="BA114" s="119"/>
      <c r="BB114" s="122"/>
      <c r="BC114" s="123">
        <v>47</v>
      </c>
      <c r="BD114" s="124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17"/>
      <c r="AK115" s="118">
        <v>48</v>
      </c>
      <c r="AL115" s="119"/>
      <c r="AM115" s="119"/>
      <c r="AN115" s="119"/>
      <c r="AO115" s="119"/>
      <c r="AP115" s="119"/>
      <c r="AQ115" s="119"/>
      <c r="AR115" s="119"/>
      <c r="AS115" s="121">
        <v>48</v>
      </c>
      <c r="AT115" s="122"/>
      <c r="AU115" s="121">
        <v>48</v>
      </c>
      <c r="AV115" s="119"/>
      <c r="AW115" s="119"/>
      <c r="AX115" s="119"/>
      <c r="AY115" s="119"/>
      <c r="AZ115" s="119"/>
      <c r="BA115" s="119"/>
      <c r="BB115" s="122"/>
      <c r="BC115" s="123">
        <v>48</v>
      </c>
      <c r="BD115" s="124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17"/>
      <c r="AK116" s="118">
        <v>49</v>
      </c>
      <c r="AL116" s="119"/>
      <c r="AM116" s="119"/>
      <c r="AN116" s="119"/>
      <c r="AO116" s="119"/>
      <c r="AP116" s="119"/>
      <c r="AQ116" s="119"/>
      <c r="AR116" s="119"/>
      <c r="AS116" s="121">
        <v>49</v>
      </c>
      <c r="AT116" s="122"/>
      <c r="AU116" s="121">
        <v>49</v>
      </c>
      <c r="AV116" s="119"/>
      <c r="AW116" s="119"/>
      <c r="AX116" s="119"/>
      <c r="AY116" s="119"/>
      <c r="AZ116" s="119"/>
      <c r="BA116" s="119"/>
      <c r="BB116" s="122"/>
      <c r="BC116" s="123">
        <v>49</v>
      </c>
      <c r="BD116" s="124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17"/>
      <c r="AK117" s="118">
        <v>50</v>
      </c>
      <c r="AL117" s="119"/>
      <c r="AM117" s="119"/>
      <c r="AN117" s="119"/>
      <c r="AO117" s="119"/>
      <c r="AP117" s="119"/>
      <c r="AQ117" s="119"/>
      <c r="AR117" s="119"/>
      <c r="AS117" s="121">
        <v>50</v>
      </c>
      <c r="AT117" s="122"/>
      <c r="AU117" s="121">
        <v>50</v>
      </c>
      <c r="AV117" s="119"/>
      <c r="AW117" s="119"/>
      <c r="AX117" s="119"/>
      <c r="AY117" s="119"/>
      <c r="AZ117" s="119"/>
      <c r="BA117" s="119"/>
      <c r="BB117" s="122"/>
      <c r="BC117" s="123">
        <v>50</v>
      </c>
      <c r="BD117" s="124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25"/>
      <c r="AK118" s="117"/>
      <c r="AL118" s="119"/>
      <c r="AM118" s="120"/>
      <c r="AN118" s="119"/>
      <c r="AO118" s="120"/>
      <c r="AP118" s="119"/>
      <c r="AQ118" s="120"/>
      <c r="AR118" s="119"/>
      <c r="AS118" s="122"/>
      <c r="AT118" s="125"/>
      <c r="AU118" s="122"/>
      <c r="AV118" s="119"/>
      <c r="AW118" s="120"/>
      <c r="AX118" s="119"/>
      <c r="AY118" s="120"/>
      <c r="AZ118" s="119"/>
      <c r="BA118" s="120"/>
      <c r="BB118" s="122"/>
      <c r="BC118" s="124"/>
      <c r="BD118" s="125"/>
    </row>
    <row r="119" spans="28:64" x14ac:dyDescent="0.25">
      <c r="AJ119" s="125"/>
      <c r="AK119" s="117"/>
      <c r="AL119" s="119"/>
      <c r="AM119" s="119"/>
      <c r="AN119" s="119"/>
      <c r="AO119" s="119"/>
      <c r="AP119" s="119"/>
      <c r="AQ119" s="119"/>
      <c r="AR119" s="119"/>
      <c r="AS119" s="122"/>
      <c r="AT119" s="125"/>
      <c r="AU119" s="122"/>
      <c r="AV119" s="119"/>
      <c r="AW119" s="119"/>
      <c r="AX119" s="119"/>
      <c r="AY119" s="119"/>
      <c r="AZ119" s="119"/>
      <c r="BA119" s="119"/>
      <c r="BB119" s="122"/>
      <c r="BC119" s="124"/>
      <c r="BD119" s="125"/>
    </row>
    <row r="120" spans="28:64" x14ac:dyDescent="0.25">
      <c r="AJ120" s="125"/>
      <c r="AK120" s="117"/>
      <c r="AL120" s="119"/>
      <c r="AM120" s="119"/>
      <c r="AN120" s="119"/>
      <c r="AO120" s="119"/>
      <c r="AP120" s="119"/>
      <c r="AQ120" s="119"/>
      <c r="AR120" s="119"/>
      <c r="AS120" s="122"/>
      <c r="AT120" s="125"/>
      <c r="AU120" s="122"/>
      <c r="AV120" s="119"/>
      <c r="AW120" s="119"/>
      <c r="AX120" s="119"/>
      <c r="AY120" s="119"/>
      <c r="AZ120" s="119"/>
      <c r="BA120" s="119"/>
      <c r="BB120" s="122"/>
      <c r="BC120" s="124"/>
      <c r="BD120" s="125"/>
    </row>
    <row r="121" spans="28:64" x14ac:dyDescent="0.25">
      <c r="AJ121" s="125"/>
      <c r="AK121" s="117"/>
      <c r="AL121" s="119"/>
      <c r="AM121" s="120"/>
      <c r="AN121" s="119"/>
      <c r="AO121" s="120"/>
      <c r="AP121" s="119"/>
      <c r="AQ121" s="120"/>
      <c r="AR121" s="119"/>
      <c r="AS121" s="122"/>
      <c r="AT121" s="125"/>
      <c r="AU121" s="122"/>
      <c r="AV121" s="119"/>
      <c r="AW121" s="120"/>
      <c r="AX121" s="119"/>
      <c r="AY121" s="120"/>
      <c r="AZ121" s="119"/>
      <c r="BA121" s="120"/>
      <c r="BB121" s="122"/>
      <c r="BC121" s="124"/>
      <c r="BD121" s="125"/>
    </row>
    <row r="122" spans="28:64" x14ac:dyDescent="0.25">
      <c r="AJ122" s="125"/>
      <c r="AK122" s="117"/>
      <c r="AL122" s="119"/>
      <c r="AM122" s="119"/>
      <c r="AN122" s="119"/>
      <c r="AO122" s="119"/>
      <c r="AP122" s="119"/>
      <c r="AQ122" s="119"/>
      <c r="AR122" s="119"/>
      <c r="AS122" s="122"/>
      <c r="AT122" s="125"/>
      <c r="AU122" s="122"/>
      <c r="AV122" s="119"/>
      <c r="AW122" s="119"/>
      <c r="AX122" s="119"/>
      <c r="AY122" s="119"/>
      <c r="AZ122" s="119"/>
      <c r="BA122" s="119"/>
      <c r="BB122" s="122"/>
      <c r="BC122" s="124"/>
      <c r="BD122" s="125"/>
    </row>
    <row r="123" spans="28:64" x14ac:dyDescent="0.25">
      <c r="AJ123" s="125"/>
      <c r="AK123" s="117"/>
      <c r="AL123" s="119"/>
      <c r="AM123" s="119"/>
      <c r="AN123" s="119"/>
      <c r="AO123" s="119"/>
      <c r="AP123" s="119"/>
      <c r="AQ123" s="119"/>
      <c r="AR123" s="119"/>
      <c r="AS123" s="122"/>
      <c r="AT123" s="125"/>
      <c r="AU123" s="122"/>
      <c r="AV123" s="119"/>
      <c r="AW123" s="119"/>
      <c r="AX123" s="119"/>
      <c r="AY123" s="119"/>
      <c r="AZ123" s="119"/>
      <c r="BA123" s="119"/>
      <c r="BB123" s="122"/>
      <c r="BC123" s="124"/>
      <c r="BD123" s="125"/>
    </row>
    <row r="124" spans="28:64" x14ac:dyDescent="0.25">
      <c r="AJ124" s="125"/>
      <c r="AK124" s="117"/>
      <c r="AL124" s="119"/>
      <c r="AM124" s="119"/>
      <c r="AN124" s="119"/>
      <c r="AO124" s="119"/>
      <c r="AP124" s="119"/>
      <c r="AQ124" s="119"/>
      <c r="AR124" s="119"/>
      <c r="AS124" s="122"/>
      <c r="AT124" s="125"/>
      <c r="AU124" s="122"/>
      <c r="AV124" s="119"/>
      <c r="AW124" s="119"/>
      <c r="AX124" s="119"/>
      <c r="AY124" s="119"/>
      <c r="AZ124" s="119"/>
      <c r="BA124" s="119"/>
      <c r="BB124" s="122"/>
      <c r="BC124" s="124"/>
      <c r="BD124" s="125"/>
    </row>
    <row r="125" spans="28:64" x14ac:dyDescent="0.25">
      <c r="AJ125" s="125"/>
      <c r="AK125" s="117"/>
      <c r="AL125" s="119"/>
      <c r="AM125" s="119"/>
      <c r="AN125" s="119"/>
      <c r="AO125" s="119"/>
      <c r="AP125" s="119"/>
      <c r="AQ125" s="119"/>
      <c r="AR125" s="119"/>
      <c r="AS125" s="122"/>
      <c r="AT125" s="125"/>
      <c r="AU125" s="122"/>
      <c r="AV125" s="119"/>
      <c r="AW125" s="119"/>
      <c r="AX125" s="119"/>
      <c r="AY125" s="119"/>
      <c r="AZ125" s="119"/>
      <c r="BA125" s="119"/>
      <c r="BB125" s="122"/>
      <c r="BC125" s="124"/>
      <c r="BD125" s="125"/>
    </row>
    <row r="126" spans="28:64" x14ac:dyDescent="0.25">
      <c r="AJ126" s="125"/>
      <c r="AK126" s="117"/>
      <c r="AL126" s="119"/>
      <c r="AM126" s="120"/>
      <c r="AN126" s="119"/>
      <c r="AO126" s="120"/>
      <c r="AP126" s="119"/>
      <c r="AQ126" s="120"/>
      <c r="AR126" s="119"/>
      <c r="AS126" s="122"/>
      <c r="AT126" s="125"/>
      <c r="AU126" s="122"/>
      <c r="AV126" s="119"/>
      <c r="AW126" s="120"/>
      <c r="AX126" s="119"/>
      <c r="AY126" s="120"/>
      <c r="AZ126" s="119"/>
      <c r="BA126" s="120"/>
      <c r="BB126" s="122"/>
      <c r="BC126" s="124"/>
      <c r="BD126" s="125"/>
    </row>
    <row r="127" spans="28:64" x14ac:dyDescent="0.25">
      <c r="AJ127" s="125"/>
      <c r="AK127" s="117"/>
      <c r="AL127" s="119"/>
      <c r="AM127" s="119"/>
      <c r="AN127" s="119"/>
      <c r="AO127" s="119"/>
      <c r="AP127" s="119"/>
      <c r="AQ127" s="119"/>
      <c r="AR127" s="119"/>
      <c r="AS127" s="122"/>
      <c r="AT127" s="125"/>
      <c r="AU127" s="122"/>
      <c r="AV127" s="119"/>
      <c r="AW127" s="119"/>
      <c r="AX127" s="119"/>
      <c r="AY127" s="119"/>
      <c r="AZ127" s="119"/>
      <c r="BA127" s="119"/>
      <c r="BB127" s="122"/>
      <c r="BC127" s="124"/>
      <c r="BD127" s="125"/>
    </row>
    <row r="128" spans="28:64" x14ac:dyDescent="0.25">
      <c r="AJ128" s="125"/>
      <c r="AK128" s="117"/>
      <c r="AL128" s="119"/>
      <c r="AM128" s="119"/>
      <c r="AN128" s="119"/>
      <c r="AO128" s="119"/>
      <c r="AP128" s="119"/>
      <c r="AQ128" s="119"/>
      <c r="AR128" s="119"/>
      <c r="AS128" s="122"/>
      <c r="AT128" s="125"/>
      <c r="AU128" s="122"/>
      <c r="AV128" s="119"/>
      <c r="AW128" s="119"/>
      <c r="AX128" s="119"/>
      <c r="AY128" s="119"/>
      <c r="AZ128" s="119"/>
      <c r="BA128" s="119"/>
      <c r="BB128" s="122"/>
      <c r="BC128" s="124"/>
      <c r="BD128" s="125"/>
    </row>
    <row r="129" spans="36:56" x14ac:dyDescent="0.25">
      <c r="AJ129" s="125"/>
      <c r="AK129" s="117"/>
      <c r="AL129" s="119"/>
      <c r="AM129" s="120"/>
      <c r="AN129" s="119"/>
      <c r="AO129" s="120"/>
      <c r="AP129" s="119"/>
      <c r="AQ129" s="120"/>
      <c r="AR129" s="119"/>
      <c r="AS129" s="122"/>
      <c r="AT129" s="125"/>
      <c r="AU129" s="122"/>
      <c r="AV129" s="119"/>
      <c r="AW129" s="120"/>
      <c r="AX129" s="119"/>
      <c r="AY129" s="120"/>
      <c r="AZ129" s="119"/>
      <c r="BA129" s="120"/>
      <c r="BB129" s="122"/>
      <c r="BC129" s="124"/>
      <c r="BD129" s="125"/>
    </row>
    <row r="130" spans="36:56" x14ac:dyDescent="0.25">
      <c r="AJ130" s="125"/>
      <c r="AK130" s="117"/>
      <c r="AL130" s="119"/>
      <c r="AM130" s="119"/>
      <c r="AN130" s="119"/>
      <c r="AO130" s="119"/>
      <c r="AP130" s="119"/>
      <c r="AQ130" s="119"/>
      <c r="AR130" s="119"/>
      <c r="AS130" s="122"/>
      <c r="AT130" s="125"/>
      <c r="AU130" s="122"/>
      <c r="AV130" s="119"/>
      <c r="AW130" s="119"/>
      <c r="AX130" s="119"/>
      <c r="AY130" s="119"/>
      <c r="AZ130" s="119"/>
      <c r="BA130" s="119"/>
      <c r="BB130" s="122"/>
      <c r="BC130" s="124"/>
      <c r="BD130" s="125"/>
    </row>
    <row r="131" spans="36:56" x14ac:dyDescent="0.25">
      <c r="AJ131" s="125"/>
      <c r="AK131" s="117"/>
      <c r="AL131" s="119"/>
      <c r="AM131" s="119"/>
      <c r="AN131" s="119"/>
      <c r="AO131" s="119"/>
      <c r="AP131" s="119"/>
      <c r="AQ131" s="119"/>
      <c r="AR131" s="119"/>
      <c r="AS131" s="122"/>
      <c r="AT131" s="125"/>
      <c r="AU131" s="122"/>
      <c r="AV131" s="119"/>
      <c r="AW131" s="119"/>
      <c r="AX131" s="119"/>
      <c r="AY131" s="119"/>
      <c r="AZ131" s="119"/>
      <c r="BA131" s="119"/>
      <c r="BB131" s="122"/>
      <c r="BC131" s="124"/>
      <c r="BD131" s="125"/>
    </row>
    <row r="132" spans="36:56" x14ac:dyDescent="0.25">
      <c r="AJ132" s="125"/>
      <c r="AK132" s="117"/>
      <c r="AL132" s="119"/>
      <c r="AM132" s="119"/>
      <c r="AN132" s="119"/>
      <c r="AO132" s="119"/>
      <c r="AP132" s="119"/>
      <c r="AQ132" s="119"/>
      <c r="AR132" s="119"/>
      <c r="AS132" s="122"/>
      <c r="AT132" s="125"/>
      <c r="AU132" s="122"/>
      <c r="AV132" s="119"/>
      <c r="AW132" s="119"/>
      <c r="AX132" s="119"/>
      <c r="AY132" s="119"/>
      <c r="AZ132" s="119"/>
      <c r="BA132" s="119"/>
      <c r="BB132" s="122"/>
      <c r="BC132" s="124"/>
      <c r="BD132" s="125"/>
    </row>
    <row r="133" spans="36:56" x14ac:dyDescent="0.25">
      <c r="AJ133" s="125"/>
      <c r="AK133" s="117"/>
      <c r="AL133" s="119"/>
      <c r="AM133" s="119"/>
      <c r="AN133" s="119"/>
      <c r="AO133" s="119"/>
      <c r="AP133" s="119"/>
      <c r="AQ133" s="119"/>
      <c r="AR133" s="119"/>
      <c r="AS133" s="122"/>
      <c r="AT133" s="125"/>
      <c r="AU133" s="122"/>
      <c r="AV133" s="119"/>
      <c r="AW133" s="119"/>
      <c r="AX133" s="119"/>
      <c r="AY133" s="119"/>
      <c r="AZ133" s="119"/>
      <c r="BA133" s="119"/>
      <c r="BB133" s="122"/>
      <c r="BC133" s="124"/>
      <c r="BD133" s="125"/>
    </row>
    <row r="134" spans="36:56" x14ac:dyDescent="0.25">
      <c r="AJ134" s="125"/>
      <c r="AK134" s="117"/>
      <c r="AL134" s="119"/>
      <c r="AM134" s="120"/>
      <c r="AN134" s="119"/>
      <c r="AO134" s="120"/>
      <c r="AP134" s="119"/>
      <c r="AQ134" s="120"/>
      <c r="AR134" s="119"/>
      <c r="AS134" s="122"/>
      <c r="AT134" s="125"/>
      <c r="AU134" s="122"/>
      <c r="AV134" s="119"/>
      <c r="AW134" s="120"/>
      <c r="AX134" s="119"/>
      <c r="AY134" s="120"/>
      <c r="AZ134" s="119"/>
      <c r="BA134" s="120"/>
      <c r="BB134" s="122"/>
      <c r="BC134" s="124"/>
      <c r="BD134" s="125"/>
    </row>
    <row r="135" spans="36:56" x14ac:dyDescent="0.25">
      <c r="AJ135" s="125"/>
      <c r="AK135" s="117"/>
      <c r="AL135" s="119"/>
      <c r="AM135" s="119"/>
      <c r="AN135" s="119"/>
      <c r="AO135" s="119"/>
      <c r="AP135" s="119"/>
      <c r="AQ135" s="119"/>
      <c r="AR135" s="119"/>
      <c r="AS135" s="122"/>
      <c r="AT135" s="125"/>
      <c r="AU135" s="122"/>
      <c r="AV135" s="119"/>
      <c r="AW135" s="119"/>
      <c r="AX135" s="119"/>
      <c r="AY135" s="119"/>
      <c r="AZ135" s="119"/>
      <c r="BA135" s="119"/>
      <c r="BB135" s="122"/>
      <c r="BC135" s="124"/>
      <c r="BD135" s="125"/>
    </row>
    <row r="136" spans="36:56" x14ac:dyDescent="0.25">
      <c r="AJ136" s="125"/>
      <c r="AK136" s="117"/>
      <c r="AL136" s="119"/>
      <c r="AM136" s="119"/>
      <c r="AN136" s="119"/>
      <c r="AO136" s="119"/>
      <c r="AP136" s="119"/>
      <c r="AQ136" s="119"/>
      <c r="AR136" s="119"/>
      <c r="AS136" s="122"/>
      <c r="AT136" s="125"/>
      <c r="AU136" s="122"/>
      <c r="AV136" s="119"/>
      <c r="AW136" s="119"/>
      <c r="AX136" s="119"/>
      <c r="AY136" s="119"/>
      <c r="AZ136" s="119"/>
      <c r="BA136" s="119"/>
      <c r="BB136" s="122"/>
      <c r="BC136" s="124"/>
      <c r="BD136" s="125"/>
    </row>
    <row r="137" spans="36:56" x14ac:dyDescent="0.25">
      <c r="AJ137" s="125"/>
      <c r="AK137" s="117"/>
      <c r="AL137" s="119"/>
      <c r="AM137" s="120"/>
      <c r="AN137" s="119"/>
      <c r="AO137" s="120"/>
      <c r="AP137" s="119"/>
      <c r="AQ137" s="120"/>
      <c r="AR137" s="119"/>
      <c r="AS137" s="122"/>
      <c r="AT137" s="125"/>
      <c r="AU137" s="122"/>
      <c r="AV137" s="119"/>
      <c r="AW137" s="120"/>
      <c r="AX137" s="119"/>
      <c r="AY137" s="120"/>
      <c r="AZ137" s="119"/>
      <c r="BA137" s="120"/>
      <c r="BB137" s="122"/>
      <c r="BC137" s="124"/>
      <c r="BD137" s="125"/>
    </row>
    <row r="138" spans="36:56" x14ac:dyDescent="0.25">
      <c r="AJ138" s="125"/>
      <c r="AK138" s="117"/>
      <c r="AL138" s="119"/>
      <c r="AM138" s="119"/>
      <c r="AN138" s="119"/>
      <c r="AO138" s="119"/>
      <c r="AP138" s="119"/>
      <c r="AQ138" s="119"/>
      <c r="AR138" s="119"/>
      <c r="AS138" s="122"/>
      <c r="AT138" s="125"/>
      <c r="AU138" s="122"/>
      <c r="AV138" s="119"/>
      <c r="AW138" s="119"/>
      <c r="AX138" s="119"/>
      <c r="AY138" s="119"/>
      <c r="AZ138" s="119"/>
      <c r="BA138" s="119"/>
      <c r="BB138" s="122"/>
      <c r="BC138" s="124"/>
      <c r="BD138" s="125"/>
    </row>
    <row r="139" spans="36:56" x14ac:dyDescent="0.25">
      <c r="AJ139" s="125"/>
      <c r="AK139" s="117"/>
      <c r="AL139" s="119"/>
      <c r="AM139" s="119"/>
      <c r="AN139" s="119"/>
      <c r="AO139" s="119"/>
      <c r="AP139" s="119"/>
      <c r="AQ139" s="119"/>
      <c r="AR139" s="119"/>
      <c r="AS139" s="122"/>
      <c r="AT139" s="125"/>
      <c r="AU139" s="122"/>
      <c r="AV139" s="119"/>
      <c r="AW139" s="119"/>
      <c r="AX139" s="119"/>
      <c r="AY139" s="119"/>
      <c r="AZ139" s="119"/>
      <c r="BA139" s="119"/>
      <c r="BB139" s="122"/>
      <c r="BC139" s="124"/>
      <c r="BD139" s="125"/>
    </row>
    <row r="140" spans="36:56" x14ac:dyDescent="0.25">
      <c r="AJ140" s="125"/>
      <c r="AK140" s="117"/>
      <c r="AL140" s="119"/>
      <c r="AM140" s="119"/>
      <c r="AN140" s="119"/>
      <c r="AO140" s="119"/>
      <c r="AP140" s="119"/>
      <c r="AQ140" s="119"/>
      <c r="AR140" s="119"/>
      <c r="AS140" s="122"/>
      <c r="AT140" s="125"/>
      <c r="AU140" s="122"/>
      <c r="AV140" s="119"/>
      <c r="AW140" s="119"/>
      <c r="AX140" s="119"/>
      <c r="AY140" s="119"/>
      <c r="AZ140" s="119"/>
      <c r="BA140" s="119"/>
      <c r="BB140" s="122"/>
      <c r="BC140" s="124"/>
      <c r="BD140" s="125"/>
    </row>
    <row r="141" spans="36:56" x14ac:dyDescent="0.25">
      <c r="AJ141" s="125"/>
      <c r="AK141" s="117"/>
      <c r="AL141" s="119"/>
      <c r="AM141" s="119"/>
      <c r="AN141" s="119"/>
      <c r="AO141" s="119"/>
      <c r="AP141" s="119"/>
      <c r="AQ141" s="119"/>
      <c r="AR141" s="119"/>
      <c r="AS141" s="122"/>
      <c r="AT141" s="125"/>
      <c r="AU141" s="122"/>
      <c r="AV141" s="119"/>
      <c r="AW141" s="119"/>
      <c r="AX141" s="119"/>
      <c r="AY141" s="119"/>
      <c r="AZ141" s="119"/>
      <c r="BA141" s="119"/>
      <c r="BB141" s="122"/>
      <c r="BC141" s="124"/>
      <c r="BD141" s="125"/>
    </row>
    <row r="142" spans="36:56" x14ac:dyDescent="0.25">
      <c r="AJ142" s="125"/>
      <c r="AK142" s="117"/>
      <c r="AL142" s="119"/>
      <c r="AM142" s="120"/>
      <c r="AN142" s="119"/>
      <c r="AO142" s="120"/>
      <c r="AP142" s="119"/>
      <c r="AQ142" s="120"/>
      <c r="AR142" s="119"/>
      <c r="AS142" s="122"/>
      <c r="AT142" s="125"/>
      <c r="AU142" s="122"/>
      <c r="AV142" s="119"/>
      <c r="AW142" s="120"/>
      <c r="AX142" s="119"/>
      <c r="AY142" s="120"/>
      <c r="AZ142" s="119"/>
      <c r="BA142" s="120"/>
      <c r="BB142" s="122"/>
      <c r="BC142" s="124"/>
      <c r="BD142" s="125"/>
    </row>
    <row r="143" spans="36:56" x14ac:dyDescent="0.25">
      <c r="AJ143" s="125"/>
      <c r="AK143" s="117"/>
      <c r="AL143" s="119"/>
      <c r="AM143" s="119"/>
      <c r="AN143" s="119"/>
      <c r="AO143" s="119"/>
      <c r="AP143" s="119"/>
      <c r="AQ143" s="119"/>
      <c r="AR143" s="119"/>
      <c r="AS143" s="122"/>
      <c r="AT143" s="125"/>
      <c r="AU143" s="122"/>
      <c r="AV143" s="119"/>
      <c r="AW143" s="119"/>
      <c r="AX143" s="119"/>
      <c r="AY143" s="119"/>
      <c r="AZ143" s="119"/>
      <c r="BA143" s="119"/>
      <c r="BB143" s="122"/>
      <c r="BC143" s="124"/>
      <c r="BD143" s="125"/>
    </row>
    <row r="144" spans="36:56" x14ac:dyDescent="0.25">
      <c r="AJ144" s="125"/>
      <c r="AK144" s="117"/>
      <c r="AL144" s="119"/>
      <c r="AM144" s="119"/>
      <c r="AN144" s="119"/>
      <c r="AO144" s="119"/>
      <c r="AP144" s="119"/>
      <c r="AQ144" s="119"/>
      <c r="AR144" s="119"/>
      <c r="AS144" s="122"/>
      <c r="AT144" s="125"/>
      <c r="AU144" s="122"/>
      <c r="AV144" s="119"/>
      <c r="AW144" s="119"/>
      <c r="AX144" s="119"/>
      <c r="AY144" s="119"/>
      <c r="AZ144" s="119"/>
      <c r="BA144" s="119"/>
      <c r="BB144" s="122"/>
      <c r="BC144" s="124"/>
      <c r="BD144" s="125"/>
    </row>
    <row r="145" spans="36:56" x14ac:dyDescent="0.25">
      <c r="AJ145" s="125"/>
      <c r="AK145" s="117"/>
      <c r="AL145" s="119"/>
      <c r="AM145" s="120"/>
      <c r="AN145" s="119"/>
      <c r="AO145" s="120"/>
      <c r="AP145" s="119"/>
      <c r="AQ145" s="120"/>
      <c r="AR145" s="119"/>
      <c r="AS145" s="122"/>
      <c r="AT145" s="125"/>
      <c r="AU145" s="122"/>
      <c r="AV145" s="119"/>
      <c r="AW145" s="120"/>
      <c r="AX145" s="119"/>
      <c r="AY145" s="120"/>
      <c r="AZ145" s="119"/>
      <c r="BA145" s="120"/>
      <c r="BB145" s="122"/>
      <c r="BC145" s="124"/>
      <c r="BD145" s="125"/>
    </row>
    <row r="146" spans="36:56" x14ac:dyDescent="0.25">
      <c r="AJ146" s="125"/>
      <c r="AK146" s="117"/>
      <c r="AL146" s="119"/>
      <c r="AM146" s="119"/>
      <c r="AN146" s="119"/>
      <c r="AO146" s="119"/>
      <c r="AP146" s="119"/>
      <c r="AQ146" s="119"/>
      <c r="AR146" s="119"/>
      <c r="AS146" s="122"/>
      <c r="AT146" s="125"/>
      <c r="AU146" s="122"/>
      <c r="AV146" s="119"/>
      <c r="AW146" s="119"/>
      <c r="AX146" s="119"/>
      <c r="AY146" s="119"/>
      <c r="AZ146" s="119"/>
      <c r="BA146" s="119"/>
      <c r="BB146" s="122"/>
      <c r="BC146" s="124"/>
      <c r="BD146" s="125"/>
    </row>
    <row r="147" spans="36:56" x14ac:dyDescent="0.25">
      <c r="AJ147" s="125"/>
      <c r="AK147" s="117"/>
      <c r="AL147" s="119"/>
      <c r="AM147" s="119"/>
      <c r="AN147" s="119"/>
      <c r="AO147" s="119"/>
      <c r="AP147" s="119"/>
      <c r="AQ147" s="119"/>
      <c r="AR147" s="119"/>
      <c r="AS147" s="122"/>
      <c r="AT147" s="125"/>
      <c r="AU147" s="122"/>
      <c r="AV147" s="119"/>
      <c r="AW147" s="119"/>
      <c r="AX147" s="119"/>
      <c r="AY147" s="119"/>
      <c r="AZ147" s="119"/>
      <c r="BA147" s="119"/>
      <c r="BB147" s="122"/>
      <c r="BC147" s="124"/>
      <c r="BD147" s="125"/>
    </row>
    <row r="148" spans="36:56" x14ac:dyDescent="0.25">
      <c r="AJ148" s="125"/>
      <c r="AK148" s="117"/>
      <c r="AL148" s="119"/>
      <c r="AM148" s="119"/>
      <c r="AN148" s="119"/>
      <c r="AO148" s="119"/>
      <c r="AP148" s="119"/>
      <c r="AQ148" s="119"/>
      <c r="AR148" s="119"/>
      <c r="AS148" s="122"/>
      <c r="AT148" s="125"/>
      <c r="AU148" s="122"/>
      <c r="AV148" s="119"/>
      <c r="AW148" s="119"/>
      <c r="AX148" s="119"/>
      <c r="AY148" s="119"/>
      <c r="AZ148" s="119"/>
      <c r="BA148" s="119"/>
      <c r="BB148" s="122"/>
      <c r="BC148" s="124"/>
      <c r="BD148" s="125"/>
    </row>
    <row r="149" spans="36:56" x14ac:dyDescent="0.25">
      <c r="AJ149" s="125"/>
      <c r="AK149" s="117"/>
      <c r="AL149" s="119"/>
      <c r="AM149" s="119"/>
      <c r="AN149" s="119"/>
      <c r="AO149" s="119"/>
      <c r="AP149" s="119"/>
      <c r="AQ149" s="119"/>
      <c r="AR149" s="119"/>
      <c r="AS149" s="122"/>
      <c r="AT149" s="125"/>
      <c r="AU149" s="122"/>
      <c r="AV149" s="119"/>
      <c r="AW149" s="119"/>
      <c r="AX149" s="119"/>
      <c r="AY149" s="119"/>
      <c r="AZ149" s="119"/>
      <c r="BA149" s="119"/>
      <c r="BB149" s="122"/>
      <c r="BC149" s="124"/>
      <c r="BD149" s="125"/>
    </row>
    <row r="150" spans="36:56" x14ac:dyDescent="0.25">
      <c r="AJ150" s="125"/>
      <c r="AK150" s="117"/>
      <c r="AL150" s="119"/>
      <c r="AM150" s="120"/>
      <c r="AN150" s="119"/>
      <c r="AO150" s="120"/>
      <c r="AP150" s="119"/>
      <c r="AQ150" s="120"/>
      <c r="AR150" s="119"/>
      <c r="AS150" s="122"/>
      <c r="AT150" s="125"/>
      <c r="AU150" s="122"/>
      <c r="AV150" s="119"/>
      <c r="AW150" s="120"/>
      <c r="AX150" s="119"/>
      <c r="AY150" s="120"/>
      <c r="AZ150" s="119"/>
      <c r="BA150" s="120"/>
      <c r="BB150" s="122"/>
      <c r="BC150" s="124"/>
      <c r="BD150" s="125"/>
    </row>
    <row r="151" spans="36:56" x14ac:dyDescent="0.25">
      <c r="AJ151" s="125"/>
      <c r="AK151" s="117"/>
      <c r="AL151" s="119"/>
      <c r="AM151" s="119"/>
      <c r="AN151" s="119"/>
      <c r="AO151" s="119"/>
      <c r="AP151" s="119"/>
      <c r="AQ151" s="119"/>
      <c r="AR151" s="119"/>
      <c r="AS151" s="122"/>
      <c r="AT151" s="125"/>
      <c r="AU151" s="122"/>
      <c r="AV151" s="119"/>
      <c r="AW151" s="119"/>
      <c r="AX151" s="119"/>
      <c r="AY151" s="119"/>
      <c r="AZ151" s="119"/>
      <c r="BA151" s="119"/>
      <c r="BB151" s="122"/>
      <c r="BC151" s="124"/>
      <c r="BD151" s="125"/>
    </row>
    <row r="152" spans="36:56" x14ac:dyDescent="0.25">
      <c r="AJ152" s="125"/>
      <c r="AK152" s="117"/>
      <c r="AL152" s="119"/>
      <c r="AM152" s="119"/>
      <c r="AN152" s="119"/>
      <c r="AO152" s="119"/>
      <c r="AP152" s="119"/>
      <c r="AQ152" s="119"/>
      <c r="AR152" s="119"/>
      <c r="AS152" s="122"/>
      <c r="AT152" s="125"/>
      <c r="AU152" s="122"/>
      <c r="AV152" s="119"/>
      <c r="AW152" s="119"/>
      <c r="AX152" s="119"/>
      <c r="AY152" s="119"/>
      <c r="AZ152" s="119"/>
      <c r="BA152" s="119"/>
      <c r="BB152" s="122"/>
      <c r="BC152" s="124"/>
      <c r="BD152" s="125"/>
    </row>
    <row r="153" spans="36:56" x14ac:dyDescent="0.25">
      <c r="AJ153" s="125"/>
      <c r="AK153" s="117"/>
      <c r="AL153" s="119"/>
      <c r="AM153" s="120"/>
      <c r="AN153" s="119"/>
      <c r="AO153" s="120"/>
      <c r="AP153" s="119"/>
      <c r="AQ153" s="120"/>
      <c r="AR153" s="119"/>
      <c r="AS153" s="122"/>
      <c r="AT153" s="125"/>
      <c r="AU153" s="122"/>
      <c r="AV153" s="119"/>
      <c r="AW153" s="120"/>
      <c r="AX153" s="119"/>
      <c r="AY153" s="120"/>
      <c r="AZ153" s="119"/>
      <c r="BA153" s="120"/>
      <c r="BB153" s="122"/>
      <c r="BC153" s="124"/>
      <c r="BD153" s="125"/>
    </row>
    <row r="154" spans="36:56" x14ac:dyDescent="0.25">
      <c r="AJ154" s="125"/>
      <c r="AK154" s="117"/>
      <c r="AL154" s="119"/>
      <c r="AM154" s="119"/>
      <c r="AN154" s="119"/>
      <c r="AO154" s="119"/>
      <c r="AP154" s="119"/>
      <c r="AQ154" s="119"/>
      <c r="AR154" s="119"/>
      <c r="AS154" s="122"/>
      <c r="AT154" s="125"/>
      <c r="AU154" s="122"/>
      <c r="AV154" s="119"/>
      <c r="AW154" s="119"/>
      <c r="AX154" s="119"/>
      <c r="AY154" s="119"/>
      <c r="AZ154" s="119"/>
      <c r="BA154" s="119"/>
      <c r="BB154" s="122"/>
      <c r="BC154" s="124"/>
      <c r="BD154" s="125"/>
    </row>
    <row r="155" spans="36:56" x14ac:dyDescent="0.25">
      <c r="AJ155" s="125"/>
      <c r="AK155" s="117"/>
      <c r="AL155" s="119"/>
      <c r="AM155" s="119"/>
      <c r="AN155" s="119"/>
      <c r="AO155" s="119"/>
      <c r="AP155" s="119"/>
      <c r="AQ155" s="119"/>
      <c r="AR155" s="119"/>
      <c r="AS155" s="122"/>
      <c r="AT155" s="125"/>
      <c r="AU155" s="122"/>
      <c r="AV155" s="119"/>
      <c r="AW155" s="119"/>
      <c r="AX155" s="119"/>
      <c r="AY155" s="119"/>
      <c r="AZ155" s="119"/>
      <c r="BA155" s="119"/>
      <c r="BB155" s="122"/>
      <c r="BC155" s="124"/>
      <c r="BD155" s="125"/>
    </row>
    <row r="156" spans="36:56" x14ac:dyDescent="0.25">
      <c r="AJ156" s="125"/>
      <c r="AK156" s="117"/>
      <c r="AL156" s="119"/>
      <c r="AM156" s="119"/>
      <c r="AN156" s="119"/>
      <c r="AO156" s="119"/>
      <c r="AP156" s="119"/>
      <c r="AQ156" s="119"/>
      <c r="AR156" s="119"/>
      <c r="AS156" s="122"/>
      <c r="AT156" s="125"/>
      <c r="AU156" s="122"/>
      <c r="AV156" s="119"/>
      <c r="AW156" s="119"/>
      <c r="AX156" s="119"/>
      <c r="AY156" s="119"/>
      <c r="AZ156" s="119"/>
      <c r="BA156" s="119"/>
      <c r="BB156" s="122"/>
      <c r="BC156" s="124"/>
      <c r="BD156" s="125"/>
    </row>
    <row r="157" spans="36:56" x14ac:dyDescent="0.25">
      <c r="AJ157" s="125"/>
      <c r="AK157" s="117"/>
      <c r="AL157" s="119"/>
      <c r="AM157" s="119"/>
      <c r="AN157" s="119"/>
      <c r="AO157" s="119"/>
      <c r="AP157" s="119"/>
      <c r="AQ157" s="119"/>
      <c r="AR157" s="119"/>
      <c r="AS157" s="122"/>
      <c r="AT157" s="125"/>
      <c r="AU157" s="122"/>
      <c r="AV157" s="119"/>
      <c r="AW157" s="119"/>
      <c r="AX157" s="119"/>
      <c r="AY157" s="119"/>
      <c r="AZ157" s="119"/>
      <c r="BA157" s="119"/>
      <c r="BB157" s="122"/>
      <c r="BC157" s="124"/>
      <c r="BD157" s="125"/>
    </row>
    <row r="158" spans="36:56" x14ac:dyDescent="0.25">
      <c r="AJ158" s="125"/>
      <c r="AK158" s="117"/>
      <c r="AL158" s="119"/>
      <c r="AM158" s="120"/>
      <c r="AN158" s="119"/>
      <c r="AO158" s="120"/>
      <c r="AP158" s="119"/>
      <c r="AQ158" s="120"/>
      <c r="AR158" s="119"/>
      <c r="AS158" s="122"/>
      <c r="AT158" s="125"/>
      <c r="AU158" s="122"/>
      <c r="AV158" s="119"/>
      <c r="AW158" s="120"/>
      <c r="AX158" s="119"/>
      <c r="AY158" s="120"/>
      <c r="AZ158" s="119"/>
      <c r="BA158" s="120"/>
      <c r="BB158" s="122"/>
      <c r="BC158" s="124"/>
      <c r="BD158" s="125"/>
    </row>
    <row r="159" spans="36:56" x14ac:dyDescent="0.25">
      <c r="AJ159" s="125"/>
      <c r="AK159" s="117"/>
      <c r="AL159" s="119"/>
      <c r="AM159" s="119"/>
      <c r="AN159" s="119"/>
      <c r="AO159" s="119"/>
      <c r="AP159" s="119"/>
      <c r="AQ159" s="119"/>
      <c r="AR159" s="119"/>
      <c r="AS159" s="122"/>
      <c r="AT159" s="125"/>
      <c r="AU159" s="122"/>
      <c r="AV159" s="119"/>
      <c r="AW159" s="119"/>
      <c r="AX159" s="119"/>
      <c r="AY159" s="119"/>
      <c r="AZ159" s="119"/>
      <c r="BA159" s="119"/>
      <c r="BB159" s="122"/>
      <c r="BC159" s="124"/>
      <c r="BD159" s="125"/>
    </row>
    <row r="160" spans="36:56" x14ac:dyDescent="0.25">
      <c r="AJ160" s="125"/>
      <c r="AK160" s="117"/>
      <c r="AL160" s="119"/>
      <c r="AM160" s="119"/>
      <c r="AN160" s="119"/>
      <c r="AO160" s="119"/>
      <c r="AP160" s="119"/>
      <c r="AQ160" s="119"/>
      <c r="AR160" s="119"/>
      <c r="AS160" s="122"/>
      <c r="AT160" s="125"/>
      <c r="AU160" s="122"/>
      <c r="AV160" s="119"/>
      <c r="AW160" s="119"/>
      <c r="AX160" s="119"/>
      <c r="AY160" s="119"/>
      <c r="AZ160" s="119"/>
      <c r="BA160" s="119"/>
      <c r="BB160" s="122"/>
      <c r="BC160" s="124"/>
      <c r="BD160" s="125"/>
    </row>
    <row r="161" spans="36:56" x14ac:dyDescent="0.25">
      <c r="AJ161" s="125"/>
      <c r="AK161" s="117"/>
      <c r="AL161" s="119"/>
      <c r="AM161" s="120"/>
      <c r="AN161" s="119"/>
      <c r="AO161" s="120"/>
      <c r="AP161" s="119"/>
      <c r="AQ161" s="120"/>
      <c r="AR161" s="119"/>
      <c r="AS161" s="122"/>
      <c r="AT161" s="125"/>
      <c r="AU161" s="122"/>
      <c r="AV161" s="119"/>
      <c r="AW161" s="120"/>
      <c r="AX161" s="119"/>
      <c r="AY161" s="120"/>
      <c r="AZ161" s="119"/>
      <c r="BA161" s="120"/>
      <c r="BB161" s="122"/>
      <c r="BC161" s="124"/>
      <c r="BD161" s="125"/>
    </row>
    <row r="162" spans="36:56" x14ac:dyDescent="0.25">
      <c r="AJ162" s="125"/>
      <c r="AK162" s="117"/>
      <c r="AL162" s="119"/>
      <c r="AM162" s="119"/>
      <c r="AN162" s="119"/>
      <c r="AO162" s="119"/>
      <c r="AP162" s="119"/>
      <c r="AQ162" s="119"/>
      <c r="AR162" s="119"/>
      <c r="AS162" s="122"/>
      <c r="AT162" s="125"/>
      <c r="AU162" s="122"/>
      <c r="AV162" s="119"/>
      <c r="AW162" s="119"/>
      <c r="AX162" s="119"/>
      <c r="AY162" s="119"/>
      <c r="AZ162" s="119"/>
      <c r="BA162" s="119"/>
      <c r="BB162" s="122"/>
      <c r="BC162" s="124"/>
      <c r="BD162" s="125"/>
    </row>
    <row r="163" spans="36:56" x14ac:dyDescent="0.25">
      <c r="AJ163" s="125"/>
      <c r="AK163" s="117"/>
      <c r="AL163" s="119"/>
      <c r="AM163" s="119"/>
      <c r="AN163" s="119"/>
      <c r="AO163" s="119"/>
      <c r="AP163" s="119"/>
      <c r="AQ163" s="119"/>
      <c r="AR163" s="119"/>
      <c r="AS163" s="122"/>
      <c r="AT163" s="125"/>
      <c r="AU163" s="122"/>
      <c r="AV163" s="119"/>
      <c r="AW163" s="119"/>
      <c r="AX163" s="119"/>
      <c r="AY163" s="119"/>
      <c r="AZ163" s="119"/>
      <c r="BA163" s="119"/>
      <c r="BB163" s="122"/>
      <c r="BC163" s="124"/>
      <c r="BD163" s="125"/>
    </row>
    <row r="164" spans="36:56" x14ac:dyDescent="0.25">
      <c r="AJ164" s="125"/>
      <c r="AK164" s="117"/>
      <c r="AL164" s="119"/>
      <c r="AM164" s="119"/>
      <c r="AN164" s="119"/>
      <c r="AO164" s="119"/>
      <c r="AP164" s="119"/>
      <c r="AQ164" s="119"/>
      <c r="AR164" s="119"/>
      <c r="AS164" s="122"/>
      <c r="AT164" s="125"/>
      <c r="AU164" s="122"/>
      <c r="AV164" s="119"/>
      <c r="AW164" s="119"/>
      <c r="AX164" s="119"/>
      <c r="AY164" s="119"/>
      <c r="AZ164" s="119"/>
      <c r="BA164" s="119"/>
      <c r="BB164" s="122"/>
      <c r="BC164" s="124"/>
      <c r="BD164" s="125"/>
    </row>
    <row r="165" spans="36:56" x14ac:dyDescent="0.25">
      <c r="AJ165" s="125"/>
      <c r="AK165" s="117"/>
      <c r="AL165" s="119"/>
      <c r="AM165" s="119"/>
      <c r="AN165" s="119"/>
      <c r="AO165" s="119"/>
      <c r="AP165" s="119"/>
      <c r="AQ165" s="119"/>
      <c r="AR165" s="119"/>
      <c r="AS165" s="122"/>
      <c r="AT165" s="125"/>
      <c r="AU165" s="122"/>
      <c r="AV165" s="119"/>
      <c r="AW165" s="119"/>
      <c r="AX165" s="119"/>
      <c r="AY165" s="119"/>
      <c r="AZ165" s="119"/>
      <c r="BA165" s="119"/>
      <c r="BB165" s="122"/>
      <c r="BC165" s="124"/>
      <c r="BD165" s="125"/>
    </row>
    <row r="166" spans="36:56" x14ac:dyDescent="0.25">
      <c r="AJ166" s="125"/>
      <c r="AK166" s="117"/>
      <c r="AL166" s="119"/>
      <c r="AM166" s="120"/>
      <c r="AN166" s="119"/>
      <c r="AO166" s="120"/>
      <c r="AP166" s="119"/>
      <c r="AQ166" s="120"/>
      <c r="AR166" s="119"/>
      <c r="AS166" s="122"/>
      <c r="AT166" s="125"/>
      <c r="AU166" s="122"/>
      <c r="AV166" s="119"/>
      <c r="AW166" s="120"/>
      <c r="AX166" s="119"/>
      <c r="AY166" s="120"/>
      <c r="AZ166" s="119"/>
      <c r="BA166" s="120"/>
      <c r="BB166" s="122"/>
      <c r="BC166" s="124"/>
      <c r="BD166" s="125"/>
    </row>
    <row r="167" spans="36:56" x14ac:dyDescent="0.25">
      <c r="AJ167" s="125"/>
      <c r="AK167" s="122"/>
      <c r="AL167" s="122"/>
      <c r="AM167" s="122"/>
      <c r="AN167" s="122"/>
      <c r="AO167" s="122"/>
      <c r="AP167" s="122"/>
      <c r="AQ167" s="122"/>
      <c r="AR167" s="122"/>
      <c r="AS167" s="122"/>
      <c r="AT167" s="122"/>
      <c r="AU167" s="122"/>
      <c r="AV167" s="122"/>
      <c r="AW167" s="122"/>
      <c r="AX167" s="122"/>
      <c r="AY167" s="122"/>
      <c r="AZ167" s="122"/>
      <c r="BA167" s="122"/>
      <c r="BB167" s="122"/>
      <c r="BC167" s="124"/>
      <c r="BD167" s="125"/>
    </row>
    <row r="168" spans="36:56" x14ac:dyDescent="0.25">
      <c r="AJ168" s="49"/>
      <c r="AK168" s="49"/>
      <c r="AL168" s="49"/>
      <c r="AM168" s="49"/>
      <c r="AN168" s="49"/>
      <c r="AO168" s="49"/>
      <c r="AP168" s="49"/>
      <c r="AQ168" s="49"/>
      <c r="AR168" s="49"/>
      <c r="AS168" s="49"/>
      <c r="AT168" s="49"/>
      <c r="AU168" s="49"/>
      <c r="AV168" s="49"/>
      <c r="AW168" s="49"/>
      <c r="AX168" s="49"/>
      <c r="AY168" s="49"/>
      <c r="AZ168" s="49"/>
      <c r="BA168" s="49"/>
      <c r="BB168" s="49"/>
      <c r="BC168" s="49"/>
      <c r="BD168" s="49"/>
    </row>
    <row r="7071" spans="39:39" x14ac:dyDescent="0.25">
      <c r="AM7071" s="50"/>
    </row>
  </sheetData>
  <sheetProtection sheet="1" objects="1" scenarios="1" selectLockedCells="1"/>
  <mergeCells count="23">
    <mergeCell ref="BG101:BK101"/>
    <mergeCell ref="BI60:BJ60"/>
    <mergeCell ref="BI61:BJ61"/>
    <mergeCell ref="BI62:BJ62"/>
    <mergeCell ref="BI63:BJ63"/>
    <mergeCell ref="BI64:BJ64"/>
    <mergeCell ref="BJ80:BK81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D53:AF53"/>
    <mergeCell ref="AC67:AG67"/>
    <mergeCell ref="AC70:AG70"/>
    <mergeCell ref="AC71:AG71"/>
    <mergeCell ref="BJ77:BK77"/>
    <mergeCell ref="BJ78:BK79"/>
    <mergeCell ref="AC68:AG68"/>
    <mergeCell ref="AC69:AG69"/>
  </mergeCells>
  <conditionalFormatting sqref="BJ78:BK79">
    <cfRule type="containsText" dxfId="11" priority="8" operator="containsText" text="NON CONFORME">
      <formula>NOT(ISERROR(SEARCH("NON CONFORME",BJ78)))</formula>
    </cfRule>
    <cfRule type="containsText" dxfId="10" priority="9" operator="containsText" text="CONFORME">
      <formula>NOT(ISERROR(SEARCH("CONFORME",BJ78)))</formula>
    </cfRule>
  </conditionalFormatting>
  <conditionalFormatting sqref="AC61:AD61 AC64:AD64">
    <cfRule type="containsText" dxfId="9" priority="6" operator="containsText" text="Démarrée">
      <formula>NOT(ISERROR(SEARCH("Démarrée",AC61)))</formula>
    </cfRule>
    <cfRule type="containsText" dxfId="8" priority="7" operator="containsText" text="A l'Arrêt">
      <formula>NOT(ISERROR(SEARCH("A l'Arrêt",AC61)))</formula>
    </cfRule>
  </conditionalFormatting>
  <conditionalFormatting sqref="AO55:AO57 AY55:AY57">
    <cfRule type="cellIs" dxfId="7" priority="5" operator="notBetween">
      <formula>$BH$61</formula>
      <formula>$BK$61</formula>
    </cfRule>
  </conditionalFormatting>
  <conditionalFormatting sqref="AT55">
    <cfRule type="cellIs" dxfId="6" priority="4" operator="notBetween">
      <formula>$BH$62</formula>
      <formula>$BK$62</formula>
    </cfRule>
  </conditionalFormatting>
  <conditionalFormatting sqref="AM63 AQ63 AW63 BA63">
    <cfRule type="cellIs" dxfId="5" priority="3" operator="notBetween">
      <formula>$BH$64</formula>
      <formula>$BK$64</formula>
    </cfRule>
  </conditionalFormatting>
  <conditionalFormatting sqref="AO58 AY58">
    <cfRule type="cellIs" dxfId="4" priority="2" operator="notBetween">
      <formula>$BH$61</formula>
      <formula>$BK$61</formula>
    </cfRule>
  </conditionalFormatting>
  <conditionalFormatting sqref="AT58">
    <cfRule type="containsText" dxfId="3" priority="1" operator="containsText" text="OK">
      <formula>NOT(ISERROR(SEARCH("OK",AT58)))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59</xdr:col>
                    <xdr:colOff>47625</xdr:colOff>
                    <xdr:row>90</xdr:row>
                    <xdr:rowOff>114300</xdr:rowOff>
                  </from>
                  <to>
                    <xdr:col>61</xdr:col>
                    <xdr:colOff>171450</xdr:colOff>
                    <xdr:row>93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61</xdr:col>
                    <xdr:colOff>390525</xdr:colOff>
                    <xdr:row>90</xdr:row>
                    <xdr:rowOff>104775</xdr:rowOff>
                  </from>
                  <to>
                    <xdr:col>63</xdr:col>
                    <xdr:colOff>133350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ModulesFromFolder">
                <anchor moveWithCells="1" sizeWithCells="1">
                  <from>
                    <xdr:col>31</xdr:col>
                    <xdr:colOff>371475</xdr:colOff>
                    <xdr:row>80</xdr:row>
                    <xdr:rowOff>95250</xdr:rowOff>
                  </from>
                  <to>
                    <xdr:col>33</xdr:col>
                    <xdr:colOff>104775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7" name="Button 50">
              <controlPr defaultSize="0" print="0" autoFill="0" autoPict="0" macro="[0]!SaveShiftFromButton">
                <anchor moveWithCells="1" sizeWithCells="1">
                  <from>
                    <xdr:col>27</xdr:col>
                    <xdr:colOff>57150</xdr:colOff>
                    <xdr:row>80</xdr:row>
                    <xdr:rowOff>76200</xdr:rowOff>
                  </from>
                  <to>
                    <xdr:col>29</xdr:col>
                    <xdr:colOff>161925</xdr:colOff>
                    <xdr:row>82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Button 63">
              <controlPr defaultSize="0" print="0" autoFill="0" autoPict="0" macro="[0]!saveRollFromProd">
                <anchor moveWithCells="1" sizeWithCells="1">
                  <from>
                    <xdr:col>57</xdr:col>
                    <xdr:colOff>171450</xdr:colOff>
                    <xdr:row>83</xdr:row>
                    <xdr:rowOff>104775</xdr:rowOff>
                  </from>
                  <to>
                    <xdr:col>63</xdr:col>
                    <xdr:colOff>47625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9" name="Button 68">
              <controlPr defaultSize="0" print="0" autoFill="0" autoPict="0" macro="[0]!SetLOI_OK">
                <anchor moveWithCells="1" sizeWithCells="1">
                  <from>
                    <xdr:col>46</xdr:col>
                    <xdr:colOff>47625</xdr:colOff>
                    <xdr:row>57</xdr:row>
                    <xdr:rowOff>9525</xdr:rowOff>
                  </from>
                  <to>
                    <xdr:col>48</xdr:col>
                    <xdr:colOff>85725</xdr:colOff>
                    <xdr:row>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10" name="Button 70">
              <controlPr defaultSize="0" print="0" autoFill="0" autoPict="0" macro="[0]!ExportGlobalsCtrlToSheet">
                <anchor moveWithCells="1" sizeWithCells="1">
                  <from>
                    <xdr:col>44</xdr:col>
                    <xdr:colOff>142875</xdr:colOff>
                    <xdr:row>61</xdr:row>
                    <xdr:rowOff>133350</xdr:rowOff>
                  </from>
                  <to>
                    <xdr:col>46</xdr:col>
                    <xdr:colOff>180975</xdr:colOff>
                    <xdr:row>63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F22"/>
  <sheetViews>
    <sheetView workbookViewId="0">
      <selection activeCell="F6" sqref="F6"/>
    </sheetView>
  </sheetViews>
  <sheetFormatPr baseColWidth="10" defaultRowHeight="15" x14ac:dyDescent="0.25"/>
  <cols>
    <col min="1" max="1" width="17.140625" bestFit="1" customWidth="1"/>
  </cols>
  <sheetData>
    <row r="1" spans="1:6" x14ac:dyDescent="0.25">
      <c r="A1" t="s">
        <v>46</v>
      </c>
      <c r="B1" t="s">
        <v>55</v>
      </c>
      <c r="C1" t="s">
        <v>59</v>
      </c>
      <c r="E1" s="95" t="s">
        <v>76</v>
      </c>
      <c r="F1" s="95"/>
    </row>
    <row r="2" spans="1:6" x14ac:dyDescent="0.25">
      <c r="A2" t="s">
        <v>53</v>
      </c>
      <c r="B2" t="s">
        <v>15</v>
      </c>
      <c r="C2" s="64">
        <v>0.33333333333333331</v>
      </c>
      <c r="E2" s="116" t="s">
        <v>61</v>
      </c>
      <c r="F2" s="116"/>
    </row>
    <row r="3" spans="1:6" x14ac:dyDescent="0.25">
      <c r="A3" t="s">
        <v>52</v>
      </c>
      <c r="B3" t="s">
        <v>56</v>
      </c>
    </row>
    <row r="4" spans="1:6" x14ac:dyDescent="0.25">
      <c r="A4" t="s">
        <v>49</v>
      </c>
      <c r="B4" t="s">
        <v>57</v>
      </c>
      <c r="C4" s="64">
        <v>2.0833333333333332E-2</v>
      </c>
    </row>
    <row r="5" spans="1:6" x14ac:dyDescent="0.25">
      <c r="A5" t="s">
        <v>50</v>
      </c>
      <c r="C5" s="64">
        <v>4.1666666666666664E-2</v>
      </c>
    </row>
    <row r="6" spans="1:6" x14ac:dyDescent="0.25">
      <c r="A6" t="s">
        <v>48</v>
      </c>
      <c r="B6" t="s">
        <v>58</v>
      </c>
      <c r="C6" s="64">
        <v>6.25E-2</v>
      </c>
    </row>
    <row r="7" spans="1:6" x14ac:dyDescent="0.25">
      <c r="A7" t="s">
        <v>60</v>
      </c>
      <c r="C7" s="64">
        <v>8.3333333333333329E-2</v>
      </c>
    </row>
    <row r="8" spans="1:6" x14ac:dyDescent="0.25">
      <c r="A8" t="s">
        <v>51</v>
      </c>
      <c r="C8" s="64">
        <v>0.10416666666666667</v>
      </c>
    </row>
    <row r="9" spans="1:6" x14ac:dyDescent="0.25">
      <c r="A9" t="s">
        <v>47</v>
      </c>
      <c r="C9" s="64">
        <v>0.125</v>
      </c>
    </row>
    <row r="10" spans="1:6" x14ac:dyDescent="0.25">
      <c r="C10" s="64">
        <v>0.14583333333333301</v>
      </c>
    </row>
    <row r="11" spans="1:6" x14ac:dyDescent="0.25">
      <c r="A11" t="s">
        <v>54</v>
      </c>
      <c r="C11" s="64">
        <v>0.16666666666666599</v>
      </c>
    </row>
    <row r="12" spans="1:6" x14ac:dyDescent="0.25">
      <c r="C12" s="64">
        <v>0.1875</v>
      </c>
    </row>
    <row r="13" spans="1:6" x14ac:dyDescent="0.25">
      <c r="C13" s="64">
        <v>0.20833333333333301</v>
      </c>
    </row>
    <row r="14" spans="1:6" x14ac:dyDescent="0.25">
      <c r="C14" s="64">
        <v>0.22916666666666599</v>
      </c>
    </row>
    <row r="15" spans="1:6" x14ac:dyDescent="0.25">
      <c r="C15" s="64">
        <v>0.25</v>
      </c>
    </row>
    <row r="16" spans="1:6" x14ac:dyDescent="0.25">
      <c r="C16" s="64">
        <v>0.27083333333333298</v>
      </c>
    </row>
    <row r="17" spans="3:3" x14ac:dyDescent="0.25">
      <c r="C17" s="64">
        <v>0.29166666666666602</v>
      </c>
    </row>
    <row r="18" spans="3:3" x14ac:dyDescent="0.25">
      <c r="C18" s="64">
        <v>0.3125</v>
      </c>
    </row>
    <row r="19" spans="3:3" x14ac:dyDescent="0.25">
      <c r="C19" s="64">
        <v>0.35416666666666602</v>
      </c>
    </row>
    <row r="20" spans="3:3" x14ac:dyDescent="0.25">
      <c r="C20" s="64">
        <v>0.375</v>
      </c>
    </row>
    <row r="21" spans="3:3" x14ac:dyDescent="0.25">
      <c r="C21" s="64">
        <v>0.39583333333333298</v>
      </c>
    </row>
    <row r="22" spans="3:3" x14ac:dyDescent="0.25">
      <c r="C22" s="64">
        <v>0.41666666666666602</v>
      </c>
    </row>
  </sheetData>
  <sortState xmlns:xlrd2="http://schemas.microsoft.com/office/spreadsheetml/2017/richdata2" ref="A2:A9">
    <sortCondition ref="A2:A9"/>
  </sortState>
  <mergeCells count="1"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ModulesFromFolder">
                <anchor moveWithCells="1" siz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88"/>
  <sheetViews>
    <sheetView workbookViewId="0">
      <selection activeCell="J16" sqref="J16"/>
    </sheetView>
  </sheetViews>
  <sheetFormatPr baseColWidth="10" defaultRowHeight="15" x14ac:dyDescent="0.25"/>
  <cols>
    <col min="1" max="1" width="29.5703125" style="62" bestFit="1" customWidth="1"/>
    <col min="2" max="2" width="10.42578125" style="62" bestFit="1" customWidth="1"/>
    <col min="3" max="3" width="15.7109375" style="62" bestFit="1" customWidth="1"/>
    <col min="4" max="4" width="10.5703125" style="62" bestFit="1" customWidth="1"/>
    <col min="5" max="5" width="4" style="61" bestFit="1" customWidth="1"/>
    <col min="6" max="6" width="7.7109375" style="62" bestFit="1" customWidth="1"/>
    <col min="7" max="7" width="2" style="61" bestFit="1" customWidth="1"/>
    <col min="8" max="8" width="7.7109375" style="62" bestFit="1" customWidth="1"/>
    <col min="9" max="9" width="2" style="61" bestFit="1" customWidth="1"/>
    <col min="10" max="10" width="68.140625" customWidth="1"/>
    <col min="11" max="11" width="15.7109375" bestFit="1" customWidth="1"/>
  </cols>
  <sheetData>
    <row r="1" spans="1:11" x14ac:dyDescent="0.25">
      <c r="A1" s="62" t="s">
        <v>44</v>
      </c>
      <c r="B1" s="62" t="s">
        <v>5</v>
      </c>
      <c r="C1" s="62" t="s">
        <v>10</v>
      </c>
      <c r="D1" s="62" t="s">
        <v>14</v>
      </c>
      <c r="E1" s="61" t="s">
        <v>114</v>
      </c>
      <c r="J1" t="s">
        <v>115</v>
      </c>
      <c r="K1" t="s">
        <v>116</v>
      </c>
    </row>
    <row r="2" spans="1:11" x14ac:dyDescent="0.25">
      <c r="A2" s="62" t="s">
        <v>62</v>
      </c>
      <c r="B2" s="63">
        <v>45805</v>
      </c>
      <c r="C2" s="62" t="s">
        <v>47</v>
      </c>
      <c r="D2" s="62" t="s">
        <v>57</v>
      </c>
      <c r="E2" s="61">
        <v>480</v>
      </c>
      <c r="F2" s="62" t="s">
        <v>39</v>
      </c>
      <c r="H2" s="62" t="s">
        <v>39</v>
      </c>
      <c r="J2" t="s">
        <v>63</v>
      </c>
      <c r="K2" s="65">
        <v>45804.865752314814</v>
      </c>
    </row>
    <row r="3" spans="1:11" x14ac:dyDescent="0.25">
      <c r="A3" s="62" t="s">
        <v>64</v>
      </c>
      <c r="B3" s="63">
        <v>45805</v>
      </c>
      <c r="C3" s="62" t="s">
        <v>49</v>
      </c>
      <c r="D3" s="62" t="s">
        <v>57</v>
      </c>
      <c r="E3" s="61">
        <v>480</v>
      </c>
      <c r="F3" s="62" t="s">
        <v>39</v>
      </c>
      <c r="H3" s="62" t="s">
        <v>39</v>
      </c>
      <c r="K3" s="65">
        <v>45804.921215277776</v>
      </c>
    </row>
    <row r="4" spans="1:11" x14ac:dyDescent="0.25">
      <c r="A4" s="62" t="s">
        <v>67</v>
      </c>
      <c r="B4" s="63">
        <v>45805</v>
      </c>
      <c r="C4" s="62" t="s">
        <v>49</v>
      </c>
      <c r="D4" s="62" t="s">
        <v>15</v>
      </c>
      <c r="E4" s="61">
        <v>480</v>
      </c>
      <c r="F4" s="62" t="s">
        <v>39</v>
      </c>
      <c r="H4" s="62" t="s">
        <v>39</v>
      </c>
      <c r="K4" s="65">
        <v>45804.955208333333</v>
      </c>
    </row>
    <row r="5" spans="1:11" x14ac:dyDescent="0.25">
      <c r="A5" s="62" t="s">
        <v>69</v>
      </c>
      <c r="B5" s="63">
        <v>45812</v>
      </c>
      <c r="C5" s="62" t="s">
        <v>60</v>
      </c>
      <c r="D5" s="62" t="s">
        <v>56</v>
      </c>
      <c r="E5" s="61">
        <v>480</v>
      </c>
      <c r="F5" s="62" t="s">
        <v>39</v>
      </c>
      <c r="H5" s="62" t="s">
        <v>39</v>
      </c>
      <c r="K5" s="65">
        <v>45812.940358796295</v>
      </c>
    </row>
    <row r="6" spans="1:11" x14ac:dyDescent="0.25">
      <c r="A6" s="62" t="s">
        <v>113</v>
      </c>
      <c r="B6" s="63">
        <v>45815</v>
      </c>
      <c r="C6" s="62" t="s">
        <v>60</v>
      </c>
      <c r="D6" s="62" t="s">
        <v>56</v>
      </c>
      <c r="E6" s="61">
        <v>480</v>
      </c>
      <c r="F6" s="62" t="s">
        <v>39</v>
      </c>
      <c r="H6" s="62" t="s">
        <v>39</v>
      </c>
      <c r="K6" s="65">
        <v>45815.744421296295</v>
      </c>
    </row>
    <row r="63" spans="39:53" x14ac:dyDescent="0.25">
      <c r="AM63" s="44"/>
      <c r="AO63" s="44"/>
      <c r="AQ63" s="44"/>
      <c r="AW63" s="44"/>
      <c r="AY63" s="44"/>
      <c r="BA63" s="44"/>
    </row>
    <row r="68" spans="39:53" x14ac:dyDescent="0.25">
      <c r="AM68" s="44"/>
      <c r="AO68" s="44"/>
      <c r="AQ68" s="44"/>
      <c r="AW68" s="44"/>
      <c r="AY68" s="44"/>
      <c r="BA68" s="44"/>
    </row>
    <row r="73" spans="39:53" x14ac:dyDescent="0.25">
      <c r="AM73" s="44"/>
      <c r="AO73" s="44"/>
      <c r="AQ73" s="44"/>
      <c r="AW73" s="44"/>
      <c r="AY73" s="44"/>
      <c r="BA73" s="44"/>
    </row>
    <row r="78" spans="39:53" x14ac:dyDescent="0.25">
      <c r="AM78" s="44"/>
      <c r="AO78" s="44"/>
      <c r="AQ78" s="44"/>
      <c r="AW78" s="44"/>
      <c r="AY78" s="44"/>
      <c r="BA78" s="44"/>
    </row>
    <row r="83" spans="39:53" x14ac:dyDescent="0.25">
      <c r="AM83" s="44"/>
      <c r="AO83" s="44"/>
      <c r="AQ83" s="44"/>
      <c r="AW83" s="44"/>
      <c r="AY83" s="44"/>
      <c r="BA83" s="44"/>
    </row>
    <row r="88" spans="39:53" x14ac:dyDescent="0.25">
      <c r="AM88" s="44"/>
      <c r="AO88" s="44"/>
      <c r="AQ88" s="44"/>
      <c r="AW88" s="44"/>
      <c r="AY88" s="44"/>
      <c r="BA88" s="44"/>
    </row>
  </sheetData>
  <conditionalFormatting sqref="A1:XFD1048576">
    <cfRule type="expression" dxfId="2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X3"/>
  <sheetViews>
    <sheetView workbookViewId="0">
      <selection sqref="A1:XFD1048576"/>
    </sheetView>
  </sheetViews>
  <sheetFormatPr baseColWidth="10" defaultColWidth="14.7109375" defaultRowHeight="15" x14ac:dyDescent="0.25"/>
  <cols>
    <col min="1" max="1" width="7.7109375" style="61" bestFit="1" customWidth="1"/>
    <col min="2" max="2" width="5" style="61" bestFit="1" customWidth="1"/>
    <col min="3" max="3" width="8.140625" style="61" bestFit="1" customWidth="1"/>
    <col min="4" max="4" width="29.5703125" style="61" bestFit="1" customWidth="1"/>
    <col min="5" max="5" width="11.140625" style="61" bestFit="1" customWidth="1"/>
    <col min="6" max="6" width="10.28515625" style="61" bestFit="1" customWidth="1"/>
    <col min="7" max="7" width="10.42578125" style="61" bestFit="1" customWidth="1"/>
    <col min="8" max="8" width="6" style="61" bestFit="1" customWidth="1"/>
    <col min="9" max="9" width="9.140625" style="61" bestFit="1" customWidth="1"/>
    <col min="10" max="10" width="10" style="61" bestFit="1" customWidth="1"/>
    <col min="11" max="11" width="15.5703125" style="61" bestFit="1" customWidth="1"/>
    <col min="12" max="12" width="7.7109375" style="61" bestFit="1" customWidth="1"/>
    <col min="13" max="13" width="16.85546875" style="61" bestFit="1" customWidth="1"/>
    <col min="14" max="14" width="18.28515625" style="61" bestFit="1" customWidth="1"/>
    <col min="15" max="16" width="33.5703125" style="61" bestFit="1" customWidth="1"/>
    <col min="17" max="20" width="34.5703125" style="61" bestFit="1" customWidth="1"/>
    <col min="21" max="23" width="8.85546875" style="61" bestFit="1" customWidth="1"/>
    <col min="24" max="24" width="9.85546875" style="61" bestFit="1" customWidth="1"/>
    <col min="25" max="16384" width="14.7109375" style="61"/>
  </cols>
  <sheetData>
    <row r="1" spans="1:24" s="76" customFormat="1" x14ac:dyDescent="0.25">
      <c r="A1" s="76" t="s">
        <v>83</v>
      </c>
      <c r="B1" s="76" t="s">
        <v>84</v>
      </c>
      <c r="C1" s="76" t="s">
        <v>85</v>
      </c>
      <c r="D1" s="76" t="s">
        <v>14</v>
      </c>
      <c r="E1" s="76" t="s">
        <v>86</v>
      </c>
      <c r="F1" s="76" t="s">
        <v>87</v>
      </c>
      <c r="G1" s="76" t="s">
        <v>88</v>
      </c>
      <c r="H1" s="76" t="s">
        <v>89</v>
      </c>
      <c r="I1" s="76" t="s">
        <v>34</v>
      </c>
      <c r="J1" s="76" t="s">
        <v>90</v>
      </c>
      <c r="K1" s="76" t="s">
        <v>91</v>
      </c>
      <c r="L1" s="76" t="s">
        <v>92</v>
      </c>
      <c r="M1" s="76" t="s">
        <v>93</v>
      </c>
      <c r="N1" s="76" t="s">
        <v>94</v>
      </c>
      <c r="O1" s="76" t="s">
        <v>95</v>
      </c>
      <c r="P1" s="76" t="s">
        <v>96</v>
      </c>
      <c r="Q1" s="76" t="s">
        <v>97</v>
      </c>
      <c r="R1" s="76" t="s">
        <v>98</v>
      </c>
      <c r="S1" s="76" t="s">
        <v>99</v>
      </c>
      <c r="T1" s="76" t="s">
        <v>100</v>
      </c>
      <c r="U1" s="76" t="s">
        <v>101</v>
      </c>
      <c r="V1" s="76" t="s">
        <v>102</v>
      </c>
      <c r="W1" s="76" t="s">
        <v>103</v>
      </c>
      <c r="X1" s="76" t="s">
        <v>104</v>
      </c>
    </row>
    <row r="2" spans="1:24" x14ac:dyDescent="0.25">
      <c r="A2" s="61" t="s">
        <v>105</v>
      </c>
      <c r="B2" s="61">
        <v>4321</v>
      </c>
      <c r="C2" s="61">
        <v>33</v>
      </c>
      <c r="D2" s="61" t="s">
        <v>69</v>
      </c>
      <c r="E2" s="61" t="s">
        <v>68</v>
      </c>
      <c r="F2" s="61">
        <v>902</v>
      </c>
      <c r="G2" s="61">
        <v>4321</v>
      </c>
      <c r="H2" s="61">
        <v>3419</v>
      </c>
      <c r="I2" s="61">
        <v>32</v>
      </c>
      <c r="J2" s="61">
        <v>106.84375</v>
      </c>
      <c r="K2" s="74">
        <v>45815.682129629633</v>
      </c>
      <c r="M2" s="61">
        <v>6.0283333333333324</v>
      </c>
      <c r="N2" s="61">
        <v>6.1161111111111106</v>
      </c>
      <c r="O2" s="61" t="s">
        <v>106</v>
      </c>
      <c r="P2" s="61" t="s">
        <v>107</v>
      </c>
      <c r="Q2" s="61" t="s">
        <v>108</v>
      </c>
      <c r="R2" s="61" t="s">
        <v>109</v>
      </c>
      <c r="S2" s="61" t="s">
        <v>110</v>
      </c>
      <c r="T2" s="61" t="s">
        <v>111</v>
      </c>
    </row>
    <row r="3" spans="1:24" x14ac:dyDescent="0.25">
      <c r="A3" s="61" t="s">
        <v>112</v>
      </c>
      <c r="B3" s="61">
        <v>4321</v>
      </c>
      <c r="C3" s="61">
        <v>34</v>
      </c>
      <c r="D3" s="61" t="s">
        <v>69</v>
      </c>
      <c r="E3" s="61" t="s">
        <v>68</v>
      </c>
      <c r="F3" s="61">
        <v>900</v>
      </c>
      <c r="G3" s="61">
        <v>5432</v>
      </c>
      <c r="H3" s="61">
        <v>4532</v>
      </c>
      <c r="I3" s="61">
        <v>32</v>
      </c>
      <c r="J3" s="61">
        <v>141.625</v>
      </c>
      <c r="K3" s="74">
        <v>45815.683379629627</v>
      </c>
      <c r="M3" s="61">
        <v>6.1533333333333324</v>
      </c>
      <c r="N3" s="61">
        <v>6.2133333333333338</v>
      </c>
      <c r="O3" s="61" t="s">
        <v>70</v>
      </c>
      <c r="P3" s="61" t="s">
        <v>71</v>
      </c>
      <c r="Q3" s="61" t="s">
        <v>72</v>
      </c>
      <c r="R3" s="61" t="s">
        <v>73</v>
      </c>
      <c r="S3" s="61" t="s">
        <v>74</v>
      </c>
      <c r="T3" s="61" t="s">
        <v>75</v>
      </c>
    </row>
  </sheetData>
  <conditionalFormatting sqref="A1:XFD1048576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15050-7A5D-4281-AA7F-0689908ED9C3}">
  <sheetPr codeName="Feuil4"/>
  <dimension ref="A1:Q4"/>
  <sheetViews>
    <sheetView workbookViewId="0">
      <selection sqref="A1:XFD6"/>
    </sheetView>
  </sheetViews>
  <sheetFormatPr baseColWidth="10" defaultColWidth="14.7109375" defaultRowHeight="15" x14ac:dyDescent="0.25"/>
  <cols>
    <col min="1" max="1" width="29.5703125" style="61" bestFit="1" customWidth="1"/>
    <col min="2" max="3" width="13.42578125" style="61" bestFit="1" customWidth="1"/>
    <col min="4" max="9" width="6.5703125" style="61" bestFit="1" customWidth="1"/>
    <col min="10" max="10" width="19" style="61" bestFit="1" customWidth="1"/>
    <col min="11" max="12" width="18.85546875" style="61" bestFit="1" customWidth="1"/>
    <col min="13" max="13" width="19" style="61" bestFit="1" customWidth="1"/>
    <col min="14" max="14" width="15.7109375" style="61" bestFit="1" customWidth="1"/>
    <col min="15" max="15" width="3.5703125" style="61" bestFit="1" customWidth="1"/>
    <col min="16" max="16" width="15.7109375" style="61" bestFit="1" customWidth="1"/>
    <col min="17" max="20" width="34.5703125" style="61" bestFit="1" customWidth="1"/>
    <col min="21" max="23" width="8.85546875" style="61" bestFit="1" customWidth="1"/>
    <col min="24" max="24" width="9.85546875" style="61" bestFit="1" customWidth="1"/>
    <col min="25" max="16384" width="14.7109375" style="61"/>
  </cols>
  <sheetData>
    <row r="1" spans="1:17" s="76" customFormat="1" x14ac:dyDescent="0.25">
      <c r="A1" s="76" t="s">
        <v>118</v>
      </c>
      <c r="B1" s="76" t="s">
        <v>119</v>
      </c>
      <c r="C1" s="76" t="s">
        <v>120</v>
      </c>
      <c r="D1" s="76" t="s">
        <v>121</v>
      </c>
      <c r="E1" s="76" t="s">
        <v>122</v>
      </c>
      <c r="F1" s="76" t="s">
        <v>123</v>
      </c>
      <c r="G1" s="76" t="s">
        <v>124</v>
      </c>
      <c r="H1" s="76" t="s">
        <v>125</v>
      </c>
      <c r="I1" s="76" t="s">
        <v>126</v>
      </c>
      <c r="J1" s="76" t="s">
        <v>127</v>
      </c>
      <c r="K1" s="76" t="s">
        <v>128</v>
      </c>
      <c r="L1" s="76" t="s">
        <v>129</v>
      </c>
      <c r="M1" s="76" t="s">
        <v>130</v>
      </c>
      <c r="N1" s="76" t="s">
        <v>131</v>
      </c>
      <c r="O1" s="76" t="s">
        <v>132</v>
      </c>
      <c r="P1" s="76" t="s">
        <v>133</v>
      </c>
      <c r="Q1" s="76" t="s">
        <v>134</v>
      </c>
    </row>
    <row r="2" spans="1:17" x14ac:dyDescent="0.25">
      <c r="A2" s="61" t="s">
        <v>113</v>
      </c>
      <c r="B2" s="61">
        <v>20.329999999999998</v>
      </c>
      <c r="C2" s="61">
        <v>26.8</v>
      </c>
      <c r="D2" s="61">
        <v>29</v>
      </c>
      <c r="E2" s="61">
        <v>32</v>
      </c>
      <c r="G2" s="61">
        <v>26.7</v>
      </c>
      <c r="H2" s="61">
        <v>25</v>
      </c>
      <c r="I2" s="61">
        <v>28.7</v>
      </c>
      <c r="J2" s="61">
        <v>1.0200000000000001E-2</v>
      </c>
      <c r="K2" s="61">
        <v>1.0999999999999999E-2</v>
      </c>
      <c r="L2" s="61">
        <v>1.0999999999999999E-2</v>
      </c>
      <c r="M2" s="61">
        <v>1.03E-2</v>
      </c>
      <c r="N2" s="61">
        <v>0.31</v>
      </c>
      <c r="O2" s="61" t="s">
        <v>78</v>
      </c>
      <c r="P2" s="74" t="s">
        <v>135</v>
      </c>
      <c r="Q2" s="74">
        <v>45815.805462962962</v>
      </c>
    </row>
    <row r="3" spans="1:17" x14ac:dyDescent="0.25">
      <c r="P3" s="74"/>
    </row>
    <row r="4" spans="1:17" x14ac:dyDescent="0.25">
      <c r="P4" s="74"/>
    </row>
  </sheetData>
  <conditionalFormatting sqref="A1:XFD1048576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56</vt:i4>
      </vt:variant>
    </vt:vector>
  </HeadingPairs>
  <TitlesOfParts>
    <vt:vector size="61" baseType="lpstr">
      <vt:lpstr>PROD</vt:lpstr>
      <vt:lpstr>params</vt:lpstr>
      <vt:lpstr>dataShifts</vt:lpstr>
      <vt:lpstr>dataRolls</vt:lpstr>
      <vt:lpstr>dataGlbCtrls</vt:lpstr>
      <vt:lpstr>activeRollArea</vt:lpstr>
      <vt:lpstr>allThicknessCels</vt:lpstr>
      <vt:lpstr>bain</vt:lpstr>
      <vt:lpstr>bainMax</vt:lpstr>
      <vt:lpstr>bainMin</vt:lpstr>
      <vt:lpstr>centerDefaultsCol</vt:lpstr>
      <vt:lpstr>ctrlMinThickness</vt:lpstr>
      <vt:lpstr>ctrlWarnThickness</vt:lpstr>
      <vt:lpstr>CutOFNumber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loi</vt:lpstr>
      <vt:lpstr>masseSurfaciqueDC</vt:lpstr>
      <vt:lpstr>masseSurfaciqueDD</vt:lpstr>
      <vt:lpstr>masseSurfaciqueGC</vt:lpstr>
      <vt:lpstr>masseSurfaciqueGG</vt:lpstr>
      <vt:lpstr>masseSurfMax</vt:lpstr>
      <vt:lpstr>masseSurfMin</vt:lpstr>
      <vt:lpstr>maxRollArea</vt:lpstr>
      <vt:lpstr>micD1</vt:lpstr>
      <vt:lpstr>micD2</vt:lpstr>
      <vt:lpstr>micD3</vt:lpstr>
      <vt:lpstr>micG1</vt:lpstr>
      <vt:lpstr>micG2</vt:lpstr>
      <vt:lpstr>micG3</vt:lpstr>
      <vt:lpstr>micronnaireMax</vt:lpstr>
      <vt:lpstr>micronnaireMin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2025-06-07T17:24:29Z</dcterms:modified>
</cp:coreProperties>
</file>