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24EE45F6-A94E-4367-B7A5-24622EAA0088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6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45" i="1" l="1" a="1"/>
  <c r="BG45" i="1" s="1"/>
  <c r="BK69" i="1"/>
  <c r="AJ170" i="1" a="1"/>
  <c r="AJ170" i="1" s="1"/>
  <c r="AM170" i="1" a="1"/>
  <c r="AM170" i="1" s="1"/>
  <c r="AO170" i="1" a="1"/>
  <c r="AO170" i="1" s="1"/>
  <c r="AQ170" i="1" a="1"/>
  <c r="AQ170" i="1" s="1"/>
  <c r="AW170" i="1" a="1"/>
  <c r="AW170" i="1" s="1"/>
  <c r="AY170" i="1" a="1"/>
  <c r="AY170" i="1" s="1"/>
  <c r="AY168" i="1" s="1"/>
  <c r="BA170" i="1" a="1"/>
  <c r="BA170" i="1" s="1"/>
  <c r="AD48" i="1" s="1"/>
  <c r="BD170" i="1" a="1"/>
  <c r="BD170" i="1" s="1"/>
  <c r="BB47" i="1"/>
  <c r="AG77" i="1"/>
  <c r="BB49" i="1"/>
  <c r="BA64" i="1"/>
  <c r="AW64" i="1"/>
  <c r="AQ64" i="1"/>
  <c r="AM64" i="1"/>
  <c r="AD53" i="1"/>
  <c r="BS58" i="1"/>
  <c r="AY63" i="1"/>
  <c r="AY64" i="1" s="1"/>
  <c r="AO63" i="1"/>
  <c r="AO64" i="1" s="1"/>
  <c r="AY58" i="1"/>
  <c r="AO58" i="1"/>
  <c r="BG93" i="1"/>
  <c r="BG83" i="1"/>
  <c r="BJ83" i="1" s="1"/>
  <c r="AG58" i="1"/>
  <c r="AD45" i="1" s="1"/>
  <c r="AC55" i="1"/>
  <c r="BJ78" i="1"/>
  <c r="BH79" i="1" s="1"/>
  <c r="BJ80" i="1" s="1"/>
  <c r="AF63" i="1"/>
  <c r="AF60" i="1"/>
  <c r="BG59" i="1"/>
  <c r="AG54" i="1"/>
  <c r="AY118" i="1" l="1"/>
  <c r="AO118" i="1"/>
  <c r="AO168" i="1"/>
  <c r="AD46" i="1"/>
  <c r="AD47" i="1" s="1"/>
  <c r="AF46" i="1" s="1"/>
  <c r="BG7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<sst xmlns="http://schemas.openxmlformats.org/spreadsheetml/2006/main" count="514" uniqueCount="291">
  <si>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</si>
  <si>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</si>
  <si>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</si>
  <si>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</si>
  <si>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</si>
  <si>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</si>
  <si>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</si>
  <si>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</si>
  <si>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</si>
  <si>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</si>
  <si>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</si>
  <si>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</si>
  <si>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</si>
  <si>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</si>
  <si>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</si>
  <si>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</si>
  <si>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</si>
  <si>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</si>
  <si>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</si>
  <si>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</si>
  <si>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</si>
  <si>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</si>
  <si>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</si>
  <si>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</si>
  <si>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</si>
  <si>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</si>
  <si>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</si>
  <si>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</si>
  <si>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</si>
  <si>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</si>
  <si>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</si>
  <si>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</si>
  <si>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</si>
  <si>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</si>
  <si>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</si>
  <si>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</si>
  <si>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</si>
  <si>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</si>
  <si>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</si>
  <si>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</si>
  <si>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</si>
  <si>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</si>
  <si>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</si>
  <si>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</si>
  <si>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</si>
  <si>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</si>
  <si>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</si>
  <si>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</si>
  <si>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</si>
  <si>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</si>
  <si>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</si>
  <si>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</si>
  <si>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</si>
  <si>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</si>
  <si>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</si>
  <si>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</si>
  <si>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</si>
  <si>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</si>
  <si>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</si>
  <si>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</si>
  <si>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</si>
  <si>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</si>
  <si>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</si>
  <si>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</si>
  <si>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</si>
  <si>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</si>
  <si>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</si>
  <si>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</si>
  <si>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</si>
  <si>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</si>
  <si>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</si>
  <si>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</si>
  <si>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</si>
  <si>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</si>
  <si>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</si>
  <si>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</si>
  <si>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</si>
  <si>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</si>
  <si>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</si>
  <si>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</si>
  <si>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</si>
  <si>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</si>
  <si>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</si>
  <si>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</si>
  <si>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</si>
  <si>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</si>
  <si>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</si>
  <si>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</si>
  <si>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</si>
  <si>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globalsCtrlID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</si>
  <si>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</si>
  <si>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</si>
  <si>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</si>
  <si>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</si>
  <si>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</si>
  <si>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</si>
  <si>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</si>
  <si>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</si>
  <si>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</si>
  <si>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</si>
  <si>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</si>
  <si>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</si>
  <si>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</si>
  <si>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</si>
  <si>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</si>
  <si>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</si>
  <si>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</si>
  <si>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</si>
  <si>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</si>
  <si>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</si>
  <si>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</si>
  <si>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</si>
  <si>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</si>
  <si>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</si>
  <si>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</si>
  <si>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</si>
  <si>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4321-64</t>
  </si>
  <si>
    <t>080625_Nuit_AnthonyMariz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</si>
  <si>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</si>
  <si>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</si>
  <si>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</si>
  <si>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</si>
  <si>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</si>
  <si>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</si>
  <si>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4321-65</t>
  </si>
  <si>
    <t>4321-66</t>
  </si>
  <si>
    <t>080625_Nuit_NicolasBoulais</t>
  </si>
  <si>
    <t>4321-1</t>
  </si>
  <si>
    <t>4321-2</t>
  </si>
  <si>
    <t>310821_Matin_NicolasBoulais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</si>
  <si>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</si>
  <si>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</si>
  <si>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</si>
  <si>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</si>
  <si>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</si>
  <si>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</si>
  <si>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</si>
  <si>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</si>
  <si>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</si>
  <si>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</si>
  <si>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</si>
  <si>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</si>
  <si>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</si>
  <si>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</si>
  <si>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</si>
  <si>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</si>
  <si>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</si>
  <si>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</si>
  <si>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</si>
  <si>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</si>
  <si>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</si>
  <si>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</si>
  <si>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</si>
  <si>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</si>
  <si>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4321-3</t>
  </si>
  <si>
    <t>4321-4</t>
  </si>
  <si>
    <t>310821_Matin_DavidHouy</t>
  </si>
  <si>
    <t>4321-5</t>
  </si>
  <si>
    <t>4321-6</t>
  </si>
  <si>
    <t>4321-7</t>
  </si>
  <si>
    <t>4321-8</t>
  </si>
  <si>
    <t>4321-9</t>
  </si>
  <si>
    <t>4321-10</t>
  </si>
  <si>
    <t>4321-11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</si>
  <si>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</si>
  <si>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</si>
  <si>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</si>
  <si>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</si>
  <si>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</si>
  <si>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</si>
  <si>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</si>
  <si>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</si>
  <si>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</si>
  <si>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</si>
  <si>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</si>
  <si>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m</t>
  </si>
  <si>
    <t>:</t>
  </si>
  <si>
    <t>Temps Perdu</t>
  </si>
  <si>
    <t>Métrages Perdus</t>
  </si>
  <si>
    <t>h</t>
  </si>
  <si>
    <t>perte temps</t>
  </si>
  <si>
    <t>Démarrage</t>
  </si>
  <si>
    <t>Autre</t>
  </si>
  <si>
    <t>090625_Matin_NicolasBoulais</t>
  </si>
  <si>
    <t>4321-12</t>
  </si>
  <si>
    <t>4321-13</t>
  </si>
  <si>
    <t>4321-14</t>
  </si>
  <si>
    <t>4321-15</t>
  </si>
  <si>
    <t>Panne / Arrêt Fibrage</t>
  </si>
  <si>
    <t>Déclaration de Temps Perdu / Déchets</t>
  </si>
  <si>
    <t>Temps Perdu Déclaré</t>
  </si>
  <si>
    <t>Total</t>
  </si>
  <si>
    <t>Données TRS</t>
  </si>
  <si>
    <t>Tps Ouverture</t>
  </si>
  <si>
    <t>Tps Dispo</t>
  </si>
  <si>
    <t>Longueur Enroulable</t>
  </si>
  <si>
    <t>4321-16</t>
  </si>
  <si>
    <t>4321-17</t>
  </si>
  <si>
    <t>4321-18</t>
  </si>
  <si>
    <t>Sur l'OF</t>
  </si>
  <si>
    <t>d</t>
  </si>
  <si>
    <t>Sur le Poste</t>
  </si>
  <si>
    <t>100625_Matin_NicolasBoulais</t>
  </si>
  <si>
    <t>4321-19</t>
  </si>
  <si>
    <t>4321-20</t>
  </si>
  <si>
    <t>32-100625-2153</t>
  </si>
  <si>
    <t>32-100625-2158</t>
  </si>
  <si>
    <t>100625_Matin_AnthonyMariz</t>
  </si>
  <si>
    <t>4321-21</t>
  </si>
  <si>
    <t>100625_Matin_AurélienPietrois</t>
  </si>
  <si>
    <t>4321-22</t>
  </si>
  <si>
    <t>lg</t>
  </si>
  <si>
    <t>100625_Après-Midi_AurélienPietrois</t>
  </si>
  <si>
    <t>NON</t>
  </si>
  <si>
    <t>100625_Nuit_AurélienPietrois</t>
  </si>
  <si>
    <t>Enroulée OK</t>
  </si>
  <si>
    <t>Enroulée NOK</t>
  </si>
  <si>
    <t>Fibré Brut</t>
  </si>
  <si>
    <t>100625_Après-Midi_DavidHouy</t>
  </si>
  <si>
    <t>100625_Après-Midi_LombricNau</t>
  </si>
  <si>
    <t>3m : 5,35 5,15 5,94 4,77 7,36 6,38</t>
  </si>
  <si>
    <t>8m : 5,21 5,49 4,54 5,51 4,88 5,94</t>
  </si>
  <si>
    <t>13m : 5,94 5,06 7,17 5,10 7,58 4,82</t>
  </si>
  <si>
    <t>18m : 6,28 6,82 7,37 4,49 5,51 6,15</t>
  </si>
  <si>
    <t>23m : 5,46 6,14 4,66 7,35 6,12 5,70</t>
  </si>
  <si>
    <t>28m : 6,43 5,71 7,47 7,11 7,04 6,55</t>
  </si>
  <si>
    <t>110625_Matin_AurélienPietrois</t>
  </si>
  <si>
    <t>110625_Après-Midi_AnthonyMariz</t>
  </si>
  <si>
    <t>110625_Matin_JonathanNestoret</t>
  </si>
  <si>
    <t>110625_Après-Midi_JonathanNestoret</t>
  </si>
  <si>
    <t>110625_Nuit_NicolasBoulais</t>
  </si>
  <si>
    <t>110625_Après-Midi_NicolasBoulais</t>
  </si>
  <si>
    <t>3m : 5,90 6,79 6,81 5,29 5,54 5,79</t>
  </si>
  <si>
    <t>8m : 5,68 7,29 6,79 7,42 4,79 6,47</t>
  </si>
  <si>
    <t>13m : 4,68 6,43 6,68 5,51 4,73 4,99</t>
  </si>
  <si>
    <t>18m : 4,45 5,78 5,69 4,65 5,78 7,47</t>
  </si>
  <si>
    <t>23m : 5,28 7,55 6,97 6,13 5,98 7,51</t>
  </si>
  <si>
    <t>28m : 6,63 5,74 6,75 5,10 5,61 5,67</t>
  </si>
  <si>
    <t>3m : 4,74 5,28 6,46 6,28 7,38 6,06</t>
  </si>
  <si>
    <t>8m : 7,12 5,99 5,00 5,46 7,18 5,23</t>
  </si>
  <si>
    <t>13m : 7,27 5,59 5,44 5,23 4,97 5,51</t>
  </si>
  <si>
    <t>18m : 6,87 5,10 5,83 4,41 6,78 7,09</t>
  </si>
  <si>
    <t>23m : 5,16 7,21 6,35 5,29 6,65 5,70</t>
  </si>
  <si>
    <t>28m : 5,60 5,65 7,15 7,00 6,77 5,80</t>
  </si>
  <si>
    <t>4321-23</t>
  </si>
  <si>
    <t>4321-24</t>
  </si>
  <si>
    <t>4321-25</t>
  </si>
  <si>
    <t>3m : 7,37 5,46 6,14 6,15 7,35 6,12</t>
  </si>
  <si>
    <t>8m : 4,66 6,43 5,71 5,70 7,11 7,04</t>
  </si>
  <si>
    <t>13m : 7,47 4,77 7,36 6,55 6,71 7,59</t>
  </si>
  <si>
    <t>18m : 6,38 5,51 4,88 5,49 5,98 5,72</t>
  </si>
  <si>
    <t>23m : 5,94 5,10 7,58 6,62 4,97 5,75</t>
  </si>
  <si>
    <t>28m : 4,82 4,49 5,51 6,14 7,01 6,13</t>
  </si>
  <si>
    <t>4321-26</t>
  </si>
  <si>
    <t>4321-27</t>
  </si>
  <si>
    <t>4321-28</t>
  </si>
  <si>
    <t>3m : 6,86 7,07 5,62 6,81 7,25 7,03</t>
  </si>
  <si>
    <t>8m : 5,03 5,44 5,72 4,97 4,75 4,43</t>
  </si>
  <si>
    <t>13m : 4,89 6,38 4,72 4,89 5,61 5,00</t>
  </si>
  <si>
    <t>18m : 5,06 6,62 6,01 7,53 7,19 6,26</t>
  </si>
  <si>
    <t>23m : 4,99 7,57 5,91 6,73 4,86 5,22</t>
  </si>
  <si>
    <t>28m : 4,41 5,76 5,32 4,49 7,05 6,91</t>
  </si>
  <si>
    <t>4321-29</t>
  </si>
  <si>
    <t>3m : 6,79 5,80 6,70 5,85 6,31 4,50</t>
  </si>
  <si>
    <t>8m : 6,02 4,96 5,29 5,42 4,83 5,45</t>
  </si>
  <si>
    <t>13m : 4,68 7,53 5,31 6,83 6,41 7,48</t>
  </si>
  <si>
    <t>18m : 6,38 5,38 7,13 7,05 6,17 6,34</t>
  </si>
  <si>
    <t>23m : 5,42 6,95 4,96 5,01 7,29 5,42</t>
  </si>
  <si>
    <t>28m : 5,36 4,63 5,98 6,32 6,31 6,85</t>
  </si>
  <si>
    <t>4321-30</t>
  </si>
  <si>
    <t>Droite 5m MarqueTapis</t>
  </si>
  <si>
    <t>9999-120625-1740</t>
  </si>
  <si>
    <t>NON CONFORME</t>
  </si>
  <si>
    <t>3m : 5,72 7,16 6,93 5,29 7,06 7,04</t>
  </si>
  <si>
    <t>8m : 5,60 7,48 7,19 6,29 7,56 7,32</t>
  </si>
  <si>
    <t>13m : 4,58 7,44 5,56 5,13 6,62 7,54</t>
  </si>
  <si>
    <t>18m : 6,08 6,85 4,57 5,18 6,11 4,74</t>
  </si>
  <si>
    <t>23m : 6,30 5,90 5,35 7,60 6,56 4,45</t>
  </si>
  <si>
    <t>28m : 6,39 6,47 5,24 6,24 4,72 4,73</t>
  </si>
  <si>
    <t>3m : 7,33 5,78 6,57 5,22 6,41 6,13</t>
  </si>
  <si>
    <t>8m : 6,01 6,04 5,88 4,90 7,40 6,49</t>
  </si>
  <si>
    <t>13m : 5,53 5,70 5,26 6,02 5,65 4,74</t>
  </si>
  <si>
    <t>18m : 4,58 5,18 7,53 6,91 5,87 6,81</t>
  </si>
  <si>
    <t>23m : 4,59 5,65 5,57 6,31 7,06 4,46</t>
  </si>
  <si>
    <t>28m : 5,97 4,90 5,92 5,07 4,64 4,74</t>
  </si>
  <si>
    <t>4321-31</t>
  </si>
  <si>
    <t>Commentaires du Poste Précédent</t>
  </si>
  <si>
    <t>Quantity Open</t>
  </si>
  <si>
    <t>Quantity Product</t>
  </si>
  <si>
    <t>Bababba</t>
  </si>
  <si>
    <t>Baguettes tordues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</si>
</sst>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4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color rgb="FF808080"/>
      <name val="Aptos Narrow"/>
      <family val="2"/>
      <scheme val="minor"/>
    </font>
    <font>
      <b/>
      <sz val="9"/>
      <color theme="3" tint="0.249977111117893"/>
      <name val="Aptos Narrow"/>
      <family val="2"/>
      <scheme val="minor"/>
    </font>
    <font>
      <b/>
      <sz val="48"/>
      <color theme="3" tint="0.249977111117893"/>
      <name val="Aptos Narrow"/>
      <family val="2"/>
      <scheme val="minor"/>
    </font>
    <font>
      <sz val="18"/>
      <color theme="3" tint="0.249977111117893"/>
      <name val="Aptos Narrow"/>
      <family val="2"/>
      <scheme val="minor"/>
    </font>
    <font>
      <sz val="9"/>
      <color rgb="FF00B05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0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0" fontId="29" fillId="4" borderId="0" xfId="0" applyFont="1" applyFill="1" applyAlignment="1">
      <alignment horizontal="right" vertic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right"/>
    </xf>
    <xf numFmtId="0" fontId="27" fillId="4" borderId="0" xfId="0" applyFont="1" applyFill="1" applyAlignment="1">
      <alignment horizontal="left"/>
    </xf>
    <xf numFmtId="0" fontId="5" fillId="4" borderId="0" xfId="0" applyFont="1" applyFill="1"/>
    <xf numFmtId="0" fontId="0" fillId="4" borderId="21" xfId="0" applyFill="1" applyBorder="1"/>
    <xf numFmtId="0" fontId="5" fillId="4" borderId="5" xfId="0" applyFont="1" applyFill="1" applyBorder="1" applyAlignment="1">
      <alignment horizontal="center"/>
    </xf>
    <xf numFmtId="0" fontId="0" fillId="13" borderId="0" xfId="0" applyFill="1"/>
    <xf numFmtId="0" fontId="0" fillId="15" borderId="0" xfId="0" applyFill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  <xf numFmtId="0" fontId="34" fillId="6" borderId="12" xfId="0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 vertical="top"/>
    </xf>
    <xf numFmtId="0" fontId="11" fillId="4" borderId="15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3" fillId="4" borderId="1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top"/>
    </xf>
    <xf numFmtId="0" fontId="5" fillId="4" borderId="0" xfId="0" applyFont="1" applyFill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right" vertical="center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2" fillId="0" borderId="0" xfId="0" applyNumberFormat="1" applyFont="1" applyAlignment="1">
      <alignment horizontal="center" vertical="center" wrapText="1"/>
    </xf>
    <xf numFmtId="9" fontId="0" fillId="0" borderId="0" xfId="0" applyNumberFormat="1"/>
    <xf numFmtId="9" fontId="36" fillId="4" borderId="0" xfId="0" applyNumberFormat="1" applyFont="1" applyFill="1" applyAlignment="1">
      <alignment vertical="center"/>
    </xf>
    <xf numFmtId="0" fontId="20" fillId="14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18" fillId="8" borderId="0" xfId="0" applyFont="1" applyFill="1" applyAlignment="1">
      <alignment horizontal="left"/>
    </xf>
    <xf numFmtId="9" fontId="38" fillId="4" borderId="0" xfId="0" applyNumberFormat="1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16" fillId="9" borderId="0" xfId="0" applyFont="1" applyFill="1" applyAlignment="1">
      <alignment horizontal="left" vertical="center"/>
    </xf>
    <xf numFmtId="0" fontId="16" fillId="9" borderId="0" xfId="0" applyFont="1" applyFill="1" applyAlignment="1">
      <alignment horizontal="right" vertical="center"/>
    </xf>
    <xf numFmtId="0" fontId="39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0" fontId="12" fillId="4" borderId="0" xfId="0" applyFont="1" applyFill="1" applyAlignment="1">
      <alignment horizontal="center" vertical="center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10" fillId="5" borderId="0" xfId="0" applyFont="1" applyFill="1" applyAlignment="1" applyProtection="1">
      <alignment horizontal="center" vertical="center"/>
      <protection locked="0"/>
    </xf>
    <xf numFmtId="0" fontId="1" fillId="15" borderId="0" xfId="0" applyFont="1" applyFill="1" applyAlignment="1">
      <alignment horizontal="center" vertical="center"/>
    </xf>
    <xf numFmtId="9" fontId="37" fillId="4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2" fontId="33" fillId="9" borderId="0" xfId="0" applyNumberFormat="1" applyFont="1" applyFill="1" applyAlignment="1" applyProtection="1">
      <alignment horizontal="left" vertical="center"/>
    </xf>
    <xf numFmtId="2" fontId="33" fillId="9" borderId="0" xfId="0" applyNumberFormat="1" applyFont="1" applyFill="1" applyAlignment="1" applyProtection="1">
      <alignment horizontal="right" vertical="center"/>
    </xf>
    <xf numFmtId="0" fontId="35" fillId="9" borderId="0" xfId="0" applyFont="1" applyFill="1" applyAlignment="1" applyProtection="1">
      <alignment horizontal="right" vertical="center"/>
    </xf>
    <xf numFmtId="0" fontId="1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left" vertical="center"/>
    </xf>
    <xf numFmtId="2" fontId="15" fillId="9" borderId="0" xfId="0" applyNumberFormat="1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10" fillId="6" borderId="12" xfId="0" applyFont="1" applyFill="1" applyBorder="1" applyAlignment="1" applyProtection="1">
      <alignment horizontal="center" vertical="center"/>
    </xf>
    <xf numFmtId="0" fontId="13" fillId="4" borderId="0" xfId="0" applyFont="1" applyFill="1" applyAlignment="1">
      <alignment vertical="center"/>
    </xf>
    <xf numFmtId="0" fontId="10" fillId="6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center" vertical="top"/>
      <protection locked="0"/>
    </xf>
  </cellXfs>
  <cellStyles count="1">
    <cellStyle name="Normal" xfId="0" builtinId="0"/>
  </cellStyles>
  <dxfs count="30"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324628</xdr:colOff>
      <xdr:row>52</xdr:row>
      <xdr:rowOff>129152</xdr:rowOff>
    </xdr:from>
    <xdr:to>
      <xdr:col>28</xdr:col>
      <xdr:colOff>623713</xdr:colOff>
      <xdr:row>54</xdr:row>
      <xdr:rowOff>28187</xdr:rowOff>
    </xdr:to>
    <xdr:pic macro="[0]!SetTodayDate">
      <xdr:nvPicPr>
        <xdr:cNvPr id="7" name="Graphique 6" descr="Calendrier journalier contour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248553" y="10073252"/>
          <a:ext cx="299085" cy="299085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72</xdr:row>
          <xdr:rowOff>123825</xdr:rowOff>
        </xdr:from>
        <xdr:to>
          <xdr:col>33</xdr:col>
          <xdr:colOff>0</xdr:colOff>
          <xdr:row>75</xdr:row>
          <xdr:rowOff>28575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Sauvegarder le Poste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152400</xdr:colOff>
          <xdr:row>83</xdr:row>
          <xdr:rowOff>123825</xdr:rowOff>
        </xdr:from>
        <xdr:to>
          <xdr:col>63</xdr:col>
          <xdr:colOff>57150</xdr:colOff>
          <xdr:row>86</xdr:row>
          <xdr:rowOff>38100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9525</xdr:colOff>
          <xdr:row>66</xdr:row>
          <xdr:rowOff>76200</xdr:rowOff>
        </xdr:from>
        <xdr:to>
          <xdr:col>67</xdr:col>
          <xdr:colOff>133350</xdr:colOff>
          <xdr:row>68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67</xdr:col>
          <xdr:colOff>238125</xdr:colOff>
          <xdr:row>66</xdr:row>
          <xdr:rowOff>76200</xdr:rowOff>
        </xdr:from>
        <xdr:to>
          <xdr:col>69</xdr:col>
          <xdr:colOff>304800</xdr:colOff>
          <xdr:row>68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19050</xdr:colOff>
          <xdr:row>69</xdr:row>
          <xdr:rowOff>85725</xdr:rowOff>
        </xdr:from>
        <xdr:to>
          <xdr:col>67</xdr:col>
          <xdr:colOff>142875</xdr:colOff>
          <xdr:row>71</xdr:row>
          <xdr:rowOff>161925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ctrls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28575</xdr:colOff>
      <xdr:row>45</xdr:row>
      <xdr:rowOff>142875</xdr:rowOff>
    </xdr:from>
    <xdr:to>
      <xdr:col>37</xdr:col>
      <xdr:colOff>152400</xdr:colOff>
      <xdr:row>47</xdr:row>
      <xdr:rowOff>38100</xdr:rowOff>
    </xdr:to>
    <xdr:pic macro="[0]!DeclareTimeLost">
      <xdr:nvPicPr>
        <xdr:cNvPr id="12" name="Graphique 11" descr="Badge à suivre contour">
          <a:extLst>
            <a:ext uri="{FF2B5EF4-FFF2-40B4-BE49-F238E27FC236}">
              <a16:creationId xmlns:a16="http://schemas.microsoft.com/office/drawing/2014/main" id="{62E75B26-3214-4DF1-A0CF-43F15FDB6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8715375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32</xdr:col>
      <xdr:colOff>266700</xdr:colOff>
      <xdr:row>75</xdr:row>
      <xdr:rowOff>152399</xdr:rowOff>
    </xdr:from>
    <xdr:to>
      <xdr:col>32</xdr:col>
      <xdr:colOff>542925</xdr:colOff>
      <xdr:row>77</xdr:row>
      <xdr:rowOff>38099</xdr:rowOff>
    </xdr:to>
    <xdr:pic macro="[0]!ClearTimeLostRange">
      <xdr:nvPicPr>
        <xdr:cNvPr id="13" name="Graphique 12" descr="Gomme contour">
          <a:extLst>
            <a:ext uri="{FF2B5EF4-FFF2-40B4-BE49-F238E27FC236}">
              <a16:creationId xmlns:a16="http://schemas.microsoft.com/office/drawing/2014/main" id="{25A04090-9E93-D511-661A-576472A8C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2">
              <a:shade val="45000"/>
              <a:satMod val="135000"/>
            </a:schemeClr>
            <a:prstClr val="white"/>
          </a:duotone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05275" y="14630399"/>
          <a:ext cx="276225" cy="276225"/>
        </a:xfrm>
        <a:prstGeom prst="rect">
          <a:avLst/>
        </a:prstGeom>
      </xdr:spPr>
    </xdr:pic>
    <xdr:clientData/>
  </xdr:twoCellAnchor>
  <xdr:twoCellAnchor editAs="oneCell">
    <xdr:from>
      <xdr:col>47</xdr:col>
      <xdr:colOff>109569</xdr:colOff>
      <xdr:row>53</xdr:row>
      <xdr:rowOff>11582</xdr:rowOff>
    </xdr:from>
    <xdr:to>
      <xdr:col>48</xdr:col>
      <xdr:colOff>400499</xdr:colOff>
      <xdr:row>55</xdr:row>
      <xdr:rowOff>83437</xdr:rowOff>
    </xdr:to>
    <xdr:pic>
      <xdr:nvPicPr>
        <xdr:cNvPr id="15" name="Graphique 14" descr="Couper contour">
          <a:extLst>
            <a:ext uri="{FF2B5EF4-FFF2-40B4-BE49-F238E27FC236}">
              <a16:creationId xmlns:a16="http://schemas.microsoft.com/office/drawing/2014/main" id="{04C001B0-55BB-470B-BAE8-3986BED1E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2050247">
          <a:off x="9339294" y="10155707"/>
          <a:ext cx="471905" cy="471905"/>
        </a:xfrm>
        <a:prstGeom prst="rect">
          <a:avLst/>
        </a:prstGeom>
      </xdr:spPr>
    </xdr:pic>
    <xdr:clientData/>
  </xdr:twoCellAnchor>
  <xdr:twoCellAnchor editAs="oneCell">
    <xdr:from>
      <xdr:col>42</xdr:col>
      <xdr:colOff>152400</xdr:colOff>
      <xdr:row>53</xdr:row>
      <xdr:rowOff>95250</xdr:rowOff>
    </xdr:from>
    <xdr:to>
      <xdr:col>43</xdr:col>
      <xdr:colOff>123825</xdr:colOff>
      <xdr:row>56</xdr:row>
      <xdr:rowOff>66675</xdr:rowOff>
    </xdr:to>
    <xdr:pic>
      <xdr:nvPicPr>
        <xdr:cNvPr id="23" name="Graphique 22" descr="Bécher contour">
          <a:extLst>
            <a:ext uri="{FF2B5EF4-FFF2-40B4-BE49-F238E27FC236}">
              <a16:creationId xmlns:a16="http://schemas.microsoft.com/office/drawing/2014/main" id="{B80A551E-F591-BA23-A74E-355DAE872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847925">
          <a:off x="7629525" y="10239375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52</xdr:col>
      <xdr:colOff>247651</xdr:colOff>
      <xdr:row>55</xdr:row>
      <xdr:rowOff>19048</xdr:rowOff>
    </xdr:from>
    <xdr:to>
      <xdr:col>54</xdr:col>
      <xdr:colOff>38101</xdr:colOff>
      <xdr:row>57</xdr:row>
      <xdr:rowOff>190498</xdr:rowOff>
    </xdr:to>
    <xdr:pic>
      <xdr:nvPicPr>
        <xdr:cNvPr id="8" name="Graphique 7" descr="Recherche contour">
          <a:extLst>
            <a:ext uri="{FF2B5EF4-FFF2-40B4-BE49-F238E27FC236}">
              <a16:creationId xmlns:a16="http://schemas.microsoft.com/office/drawing/2014/main" id="{84752D33-E757-3A5B-9A23-2616E2686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272545">
          <a:off x="11220451" y="10563223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36</xdr:col>
      <xdr:colOff>59060</xdr:colOff>
      <xdr:row>53</xdr:row>
      <xdr:rowOff>91962</xdr:rowOff>
    </xdr:from>
    <xdr:to>
      <xdr:col>38</xdr:col>
      <xdr:colOff>344967</xdr:colOff>
      <xdr:row>56</xdr:row>
      <xdr:rowOff>130219</xdr:rowOff>
    </xdr:to>
    <xdr:pic>
      <xdr:nvPicPr>
        <xdr:cNvPr id="16" name="Graphique 15" descr="Chronomètre 75% contour">
          <a:extLst>
            <a:ext uri="{FF2B5EF4-FFF2-40B4-BE49-F238E27FC236}">
              <a16:creationId xmlns:a16="http://schemas.microsoft.com/office/drawing/2014/main" id="{09EFB21E-1829-1D4F-BB1B-6B8F27513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20203272">
          <a:off x="5621660" y="10236087"/>
          <a:ext cx="638332" cy="638332"/>
        </a:xfrm>
        <a:prstGeom prst="rect">
          <a:avLst/>
        </a:prstGeom>
      </xdr:spPr>
    </xdr:pic>
    <xdr:clientData/>
  </xdr:twoCellAnchor>
  <xdr:twoCellAnchor editAs="oneCell">
    <xdr:from>
      <xdr:col>44</xdr:col>
      <xdr:colOff>99976</xdr:colOff>
      <xdr:row>60</xdr:row>
      <xdr:rowOff>99976</xdr:rowOff>
    </xdr:from>
    <xdr:to>
      <xdr:col>45</xdr:col>
      <xdr:colOff>619126</xdr:colOff>
      <xdr:row>63</xdr:row>
      <xdr:rowOff>190501</xdr:rowOff>
    </xdr:to>
    <xdr:pic>
      <xdr:nvPicPr>
        <xdr:cNvPr id="21" name="Graphique 20" descr="Microscope contour">
          <a:extLst>
            <a:ext uri="{FF2B5EF4-FFF2-40B4-BE49-F238E27FC236}">
              <a16:creationId xmlns:a16="http://schemas.microsoft.com/office/drawing/2014/main" id="{88146087-4F67-1217-D4F2-CD3C175CB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341417">
          <a:off x="8358151" y="11625226"/>
          <a:ext cx="690600" cy="690600"/>
        </a:xfrm>
        <a:prstGeom prst="rect">
          <a:avLst/>
        </a:prstGeom>
      </xdr:spPr>
    </xdr:pic>
    <xdr:clientData/>
  </xdr:twoCellAnchor>
  <xdr:twoCellAnchor editAs="oneCell">
    <xdr:from>
      <xdr:col>50</xdr:col>
      <xdr:colOff>105336</xdr:colOff>
      <xdr:row>60</xdr:row>
      <xdr:rowOff>3002</xdr:rowOff>
    </xdr:from>
    <xdr:to>
      <xdr:col>50</xdr:col>
      <xdr:colOff>573991</xdr:colOff>
      <xdr:row>62</xdr:row>
      <xdr:rowOff>71607</xdr:rowOff>
    </xdr:to>
    <xdr:pic>
      <xdr:nvPicPr>
        <xdr:cNvPr id="24" name="Graphique 23" descr="Tubes à essai contour">
          <a:extLst>
            <a:ext uri="{FF2B5EF4-FFF2-40B4-BE49-F238E27FC236}">
              <a16:creationId xmlns:a16="http://schemas.microsoft.com/office/drawing/2014/main" id="{FEB5388C-AB01-2766-084B-01FA1D945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745141">
          <a:off x="10297086" y="11528252"/>
          <a:ext cx="468655" cy="468655"/>
        </a:xfrm>
        <a:prstGeom prst="rect">
          <a:avLst/>
        </a:prstGeom>
      </xdr:spPr>
    </xdr:pic>
    <xdr:clientData/>
  </xdr:twoCellAnchor>
  <xdr:twoCellAnchor editAs="oneCell">
    <xdr:from>
      <xdr:col>40</xdr:col>
      <xdr:colOff>107627</xdr:colOff>
      <xdr:row>60</xdr:row>
      <xdr:rowOff>1208</xdr:rowOff>
    </xdr:from>
    <xdr:to>
      <xdr:col>40</xdr:col>
      <xdr:colOff>523108</xdr:colOff>
      <xdr:row>62</xdr:row>
      <xdr:rowOff>16639</xdr:rowOff>
    </xdr:to>
    <xdr:pic>
      <xdr:nvPicPr>
        <xdr:cNvPr id="26" name="Graphique 25" descr="Presse-papiers vérifié avec un remplissage uni">
          <a:extLst>
            <a:ext uri="{FF2B5EF4-FFF2-40B4-BE49-F238E27FC236}">
              <a16:creationId xmlns:a16="http://schemas.microsoft.com/office/drawing/2014/main" id="{BDA02C40-E679-7228-3ADA-D428B8369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 rot="20951168">
          <a:off x="6803702" y="11526458"/>
          <a:ext cx="415481" cy="415481"/>
        </a:xfrm>
        <a:prstGeom prst="rect">
          <a:avLst/>
        </a:prstGeom>
      </xdr:spPr>
    </xdr:pic>
    <xdr:clientData/>
  </xdr:twoCellAnchor>
  <xdr:twoCellAnchor editAs="oneCell">
    <xdr:from>
      <xdr:col>43</xdr:col>
      <xdr:colOff>1915</xdr:colOff>
      <xdr:row>44</xdr:row>
      <xdr:rowOff>49760</xdr:rowOff>
    </xdr:from>
    <xdr:to>
      <xdr:col>45</xdr:col>
      <xdr:colOff>65635</xdr:colOff>
      <xdr:row>46</xdr:row>
      <xdr:rowOff>75380</xdr:rowOff>
    </xdr:to>
    <xdr:pic>
      <xdr:nvPicPr>
        <xdr:cNvPr id="29" name="Graphique 28" descr="Recyclage avec un remplissage uni">
          <a:extLst>
            <a:ext uri="{FF2B5EF4-FFF2-40B4-BE49-F238E27FC236}">
              <a16:creationId xmlns:a16="http://schemas.microsoft.com/office/drawing/2014/main" id="{16A384C6-FFDE-4370-C27E-1C0541535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 rot="20994871">
          <a:off x="8079115" y="8431760"/>
          <a:ext cx="416145" cy="416145"/>
        </a:xfrm>
        <a:prstGeom prst="rect">
          <a:avLst/>
        </a:prstGeom>
      </xdr:spPr>
    </xdr:pic>
    <xdr:clientData/>
  </xdr:twoCellAnchor>
  <xdr:twoCellAnchor editAs="oneCell">
    <xdr:from>
      <xdr:col>52</xdr:col>
      <xdr:colOff>78837</xdr:colOff>
      <xdr:row>47</xdr:row>
      <xdr:rowOff>42889</xdr:rowOff>
    </xdr:from>
    <xdr:to>
      <xdr:col>52</xdr:col>
      <xdr:colOff>568671</xdr:colOff>
      <xdr:row>49</xdr:row>
      <xdr:rowOff>132673</xdr:rowOff>
    </xdr:to>
    <xdr:pic>
      <xdr:nvPicPr>
        <xdr:cNvPr id="31" name="Graphique 30" descr="Ordures contour">
          <a:extLst>
            <a:ext uri="{FF2B5EF4-FFF2-40B4-BE49-F238E27FC236}">
              <a16:creationId xmlns:a16="http://schemas.microsoft.com/office/drawing/2014/main" id="{20D402E4-6A90-A02D-D142-17832FC9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 rot="845946">
          <a:off x="11051637" y="9015439"/>
          <a:ext cx="489834" cy="489834"/>
        </a:xfrm>
        <a:prstGeom prst="rect">
          <a:avLst/>
        </a:prstGeom>
      </xdr:spPr>
    </xdr:pic>
    <xdr:clientData/>
  </xdr:twoCellAnchor>
  <xdr:twoCellAnchor editAs="oneCell">
    <xdr:from>
      <xdr:col>31</xdr:col>
      <xdr:colOff>885825</xdr:colOff>
      <xdr:row>54</xdr:row>
      <xdr:rowOff>85725</xdr:rowOff>
    </xdr:from>
    <xdr:to>
      <xdr:col>32</xdr:col>
      <xdr:colOff>381000</xdr:colOff>
      <xdr:row>56</xdr:row>
      <xdr:rowOff>104775</xdr:rowOff>
    </xdr:to>
    <xdr:pic>
      <xdr:nvPicPr>
        <xdr:cNvPr id="33" name="Graphique 32" descr="Centre d’appels contour">
          <a:extLst>
            <a:ext uri="{FF2B5EF4-FFF2-40B4-BE49-F238E27FC236}">
              <a16:creationId xmlns:a16="http://schemas.microsoft.com/office/drawing/2014/main" id="{2EB51F16-3B14-B805-D753-1735D953E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800475" y="10429875"/>
          <a:ext cx="419100" cy="419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152400</xdr:colOff>
      <xdr:row>11</xdr:row>
      <xdr:rowOff>52388</xdr:rowOff>
    </xdr:from>
    <xdr:to>
      <xdr:col>10</xdr:col>
      <xdr:colOff>114300</xdr:colOff>
      <xdr:row>16</xdr:row>
      <xdr:rowOff>142876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B7D8BB0-A4FF-1343-AE93-FF1B0E76F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44:BT7071"/>
  <sheetViews>
    <sheetView tabSelected="1" topLeftCell="AA37" zoomScaleNormal="100" workbookViewId="0">
      <selection activeCell="BG45" sqref="BG45:BK45"/>
    </sheetView>
  </sheetViews>
  <sheetFormatPr baseColWidth="10" defaultRowHeight="15" x14ac:dyDescent="0.25"/>
  <cols>
    <col min="1" max="19" width="0" style="38" hidden="1" customWidth="1"/>
    <col min="20" max="26" width="0" style="37" hidden="1" customWidth="1"/>
    <col min="27" max="27" width="11.140625" style="38" customWidth="1"/>
    <col min="28" max="28" width="2.7109375" style="38" customWidth="1"/>
    <col min="29" max="29" width="13.7109375" style="38" customWidth="1"/>
    <col min="30" max="30" width="13.85546875" style="38" customWidth="1"/>
    <col min="31" max="31" width="2.28515625" style="38" bestFit="1" customWidth="1"/>
    <col min="32" max="32" width="13.85546875" style="38" customWidth="1"/>
    <col min="33" max="33" width="11" style="38" customWidth="1"/>
    <col min="34" max="35" width="2.7109375" style="38" customWidth="1"/>
    <col min="36" max="36" width="9.42578125" style="38" bestFit="1" customWidth="1"/>
    <col min="37" max="37" width="2.5703125" style="38" customWidth="1"/>
    <col min="38" max="38" width="2.7109375" style="38" customWidth="1"/>
    <col min="39" max="39" width="9" style="38" customWidth="1"/>
    <col min="40" max="40" width="2.7109375" style="38" customWidth="1"/>
    <col min="41" max="41" width="9" style="38" customWidth="1"/>
    <col min="42" max="42" width="2.7109375" style="38" customWidth="1"/>
    <col min="43" max="43" width="9" style="38" customWidth="1"/>
    <col min="44" max="44" width="2.7109375" style="38" customWidth="1"/>
    <col min="45" max="45" width="2.5703125" style="38" customWidth="1"/>
    <col min="46" max="46" width="9.42578125" style="38" bestFit="1" customWidth="1"/>
    <col min="47" max="47" width="2.5703125" style="38" customWidth="1"/>
    <col min="48" max="48" width="2.7109375" style="38" customWidth="1"/>
    <col min="49" max="49" width="9" style="38" customWidth="1"/>
    <col min="50" max="50" width="2.7109375" style="38" customWidth="1"/>
    <col min="51" max="51" width="9" style="38" customWidth="1"/>
    <col min="52" max="52" width="2.7109375" style="38" customWidth="1"/>
    <col min="53" max="53" width="9" style="38" customWidth="1"/>
    <col min="54" max="54" width="2.7109375" style="38" customWidth="1"/>
    <col min="55" max="55" width="2.5703125" style="38" customWidth="1"/>
    <col min="56" max="56" width="9.42578125" style="38" bestFit="1" customWidth="1"/>
    <col min="57" max="57" width="3.42578125" style="38" customWidth="1"/>
    <col min="58" max="58" width="2.7109375" style="38" customWidth="1"/>
    <col min="59" max="60" width="13.7109375" style="38" customWidth="1"/>
    <col min="61" max="61" width="2.42578125" style="38" bestFit="1" customWidth="1"/>
    <col min="62" max="63" width="11" style="38" customWidth="1"/>
    <col min="64" max="64" width="2.7109375" style="38" customWidth="1"/>
    <col min="65" max="65" width="3.42578125" style="38" customWidth="1"/>
    <col min="66" max="66" width="2.7109375" style="38" customWidth="1"/>
    <col min="67" max="68" width="13.42578125" style="38" customWidth="1"/>
    <col min="69" max="69" width="3.7109375" style="38" customWidth="1"/>
    <col min="70" max="71" width="13.42578125" style="38" customWidth="1"/>
    <col min="72" max="72" width="2.7109375" style="38" customWidth="1"/>
    <col min="73" max="16384" width="11.42578125" style="38"/>
  </cols>
  <sheetData>
    <row r="44" spans="28:64" x14ac:dyDescent="0.25">
      <c r="AB44" s="11"/>
      <c r="AC44" s="10" t="s">
        <v>192</v>
      </c>
      <c r="AD44" s="11"/>
      <c r="AE44" s="11"/>
      <c r="AF44" s="11"/>
      <c r="AG44" s="11"/>
      <c r="AH44" s="11"/>
      <c r="AK44" s="82"/>
      <c r="AL44" s="69" t="s">
        <v>189</v>
      </c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2"/>
      <c r="AX44" s="82"/>
      <c r="AY44" s="82"/>
      <c r="AZ44" s="82"/>
      <c r="BA44" s="82"/>
      <c r="BB44" s="82"/>
      <c r="BC44" s="82"/>
      <c r="BF44" s="73"/>
      <c r="BG44" s="74" t="s">
        <v>286</v>
      </c>
      <c r="BH44" s="74"/>
      <c r="BI44" s="74"/>
      <c r="BJ44" s="74"/>
      <c r="BK44" s="74"/>
      <c r="BL44" s="73"/>
    </row>
    <row r="45" spans="28:64" x14ac:dyDescent="0.25">
      <c r="AB45" s="12"/>
      <c r="AC45" s="90" t="s">
        <v>193</v>
      </c>
      <c r="AD45" s="92">
        <f>shiftDuree</f>
        <v>480</v>
      </c>
      <c r="AE45" s="14"/>
      <c r="AF45" s="90"/>
      <c r="AG45" s="91"/>
      <c r="AH45" s="12"/>
      <c r="AK45" s="1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F45" s="56"/>
      <c r="BG45" s="175" t="e" cm="1">
        <f t="array" aca="1" ref="BG45" ca="1">_xludf.LOOKUP(2,1/(J:J&lt;&gt;""),J:J)</f>
        <v>#NAME?</v>
      </c>
      <c r="BH45" s="175"/>
      <c r="BI45" s="175"/>
      <c r="BJ45" s="175"/>
      <c r="BK45" s="175"/>
      <c r="BL45" s="56"/>
    </row>
    <row r="46" spans="28:64" ht="15.75" customHeight="1" thickBot="1" x14ac:dyDescent="0.3">
      <c r="AB46" s="12"/>
      <c r="AC46" s="90" t="s">
        <v>194</v>
      </c>
      <c r="AD46" s="92">
        <f>shiftDuree-AG77</f>
        <v>360</v>
      </c>
      <c r="AE46" s="14"/>
      <c r="AF46" s="145">
        <f>IF(BD170&lt;&gt;"",AD48/AD47,"")</f>
        <v>0.84302325581395343</v>
      </c>
      <c r="AG46" s="145"/>
      <c r="AH46" s="121"/>
      <c r="AK46" s="1"/>
      <c r="AL46" s="130" t="s">
        <v>177</v>
      </c>
      <c r="AM46" s="130"/>
      <c r="AN46" s="130"/>
      <c r="AO46" s="130"/>
      <c r="AP46" s="130"/>
      <c r="AQ46" s="130"/>
      <c r="AR46" s="130"/>
      <c r="AS46" s="130"/>
      <c r="AT46" s="130"/>
      <c r="AU46" s="130"/>
      <c r="AV46" s="130"/>
      <c r="AW46" s="130"/>
      <c r="AX46" s="12"/>
      <c r="AY46" s="12" t="s">
        <v>179</v>
      </c>
      <c r="AZ46" s="12"/>
      <c r="BA46" s="12" t="s">
        <v>17</v>
      </c>
      <c r="BB46" s="142"/>
      <c r="BC46" s="142"/>
      <c r="BF46" s="56"/>
      <c r="BG46" s="175"/>
      <c r="BH46" s="175"/>
      <c r="BI46" s="175"/>
      <c r="BJ46" s="175"/>
      <c r="BK46" s="175"/>
      <c r="BL46" s="56"/>
    </row>
    <row r="47" spans="28:64" ht="15.75" customHeight="1" thickBot="1" x14ac:dyDescent="0.3">
      <c r="AB47" s="12"/>
      <c r="AC47" s="90" t="s">
        <v>195</v>
      </c>
      <c r="AD47" s="92">
        <f>ROUND(AD46*$BS$58,2)</f>
        <v>103.2</v>
      </c>
      <c r="AE47" s="14"/>
      <c r="AF47" s="145"/>
      <c r="AG47" s="145"/>
      <c r="AH47" s="121"/>
      <c r="AK47" s="1"/>
      <c r="AL47" s="12"/>
      <c r="AM47" s="137"/>
      <c r="AN47" s="138"/>
      <c r="AO47" s="139"/>
      <c r="AP47" s="12"/>
      <c r="AQ47" s="143"/>
      <c r="AR47" s="143"/>
      <c r="AS47" s="143"/>
      <c r="AT47" s="143"/>
      <c r="AU47" s="143"/>
      <c r="AV47" s="143"/>
      <c r="AW47" s="143"/>
      <c r="AX47" s="12"/>
      <c r="AY47" s="40"/>
      <c r="AZ47" s="12" t="s">
        <v>176</v>
      </c>
      <c r="BA47" s="40"/>
      <c r="BB47" s="141">
        <f>ROUND(AY47*60+BA47,0)</f>
        <v>0</v>
      </c>
      <c r="BC47" s="133"/>
      <c r="BF47" s="56"/>
      <c r="BG47" s="175"/>
      <c r="BH47" s="175"/>
      <c r="BI47" s="175"/>
      <c r="BJ47" s="175"/>
      <c r="BK47" s="175"/>
      <c r="BL47" s="56"/>
    </row>
    <row r="48" spans="28:64" ht="15.75" customHeight="1" thickBot="1" x14ac:dyDescent="0.3">
      <c r="AB48" s="12"/>
      <c r="AC48" s="90" t="s">
        <v>217</v>
      </c>
      <c r="AD48" s="92">
        <f>SUM(BA170:BA213)-shiftLgEnrouleePrisePoste+shiftLgEnrouleeFinPoste</f>
        <v>87</v>
      </c>
      <c r="AE48" s="90"/>
      <c r="AF48" s="145"/>
      <c r="AG48" s="145"/>
      <c r="AH48" s="121"/>
      <c r="AK48" s="1"/>
      <c r="AL48" s="130" t="s">
        <v>178</v>
      </c>
      <c r="AM48" s="130"/>
      <c r="AN48" s="130"/>
      <c r="AO48" s="130"/>
      <c r="AP48" s="130"/>
      <c r="AQ48" s="130"/>
      <c r="AR48" s="130"/>
      <c r="AS48" s="130"/>
      <c r="AT48" s="130"/>
      <c r="AU48" s="130"/>
      <c r="AV48" s="130"/>
      <c r="AW48" s="130"/>
      <c r="AX48" s="12"/>
      <c r="AY48" s="12"/>
      <c r="AZ48" s="12"/>
      <c r="BA48" s="12"/>
      <c r="BB48" s="133"/>
      <c r="BC48" s="133"/>
      <c r="BF48" s="56"/>
      <c r="BG48" s="175"/>
      <c r="BH48" s="175"/>
      <c r="BI48" s="175"/>
      <c r="BJ48" s="175"/>
      <c r="BK48" s="175"/>
      <c r="BL48" s="56"/>
    </row>
    <row r="49" spans="28:72" ht="15.75" customHeight="1" thickBot="1" x14ac:dyDescent="0.3">
      <c r="AB49" s="12"/>
      <c r="AC49" s="90" t="s">
        <v>215</v>
      </c>
      <c r="AD49" s="92">
        <v>55</v>
      </c>
      <c r="AE49" s="90"/>
      <c r="AF49" s="145"/>
      <c r="AG49" s="145"/>
      <c r="AH49" s="121"/>
      <c r="AK49" s="1"/>
      <c r="AL49" s="34"/>
      <c r="AM49" s="146"/>
      <c r="AN49" s="146"/>
      <c r="AO49" s="146"/>
      <c r="AP49" s="146"/>
      <c r="AQ49" s="146"/>
      <c r="AR49" s="146"/>
      <c r="AS49" s="146"/>
      <c r="AT49" s="146"/>
      <c r="AU49" s="146"/>
      <c r="AV49" s="146"/>
      <c r="AW49" s="146"/>
      <c r="AX49" s="12"/>
      <c r="AY49" s="40"/>
      <c r="AZ49" s="12" t="s">
        <v>175</v>
      </c>
      <c r="BA49" s="12"/>
      <c r="BB49" s="133">
        <f>ROUND((AY49/BR58*60),0)</f>
        <v>0</v>
      </c>
      <c r="BC49" s="133"/>
      <c r="BF49" s="56"/>
      <c r="BG49" s="175"/>
      <c r="BH49" s="175"/>
      <c r="BI49" s="175"/>
      <c r="BJ49" s="175"/>
      <c r="BK49" s="175"/>
      <c r="BL49" s="56"/>
    </row>
    <row r="50" spans="28:72" ht="15" customHeight="1" x14ac:dyDescent="0.25">
      <c r="AB50" s="12"/>
      <c r="AC50" s="90" t="s">
        <v>216</v>
      </c>
      <c r="AD50" s="92">
        <v>32</v>
      </c>
      <c r="AE50" s="14"/>
      <c r="AF50" s="114"/>
      <c r="AG50" s="114"/>
      <c r="AH50" s="12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F50" s="56"/>
      <c r="BG50" s="175"/>
      <c r="BH50" s="175"/>
      <c r="BI50" s="175"/>
      <c r="BJ50" s="175"/>
      <c r="BK50" s="175"/>
      <c r="BL50" s="56"/>
    </row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68"/>
      <c r="AL52" s="69" t="s">
        <v>1</v>
      </c>
      <c r="AM52" s="68"/>
      <c r="AN52" s="69"/>
      <c r="AO52" s="68"/>
      <c r="AP52" s="68"/>
      <c r="AQ52" s="68"/>
      <c r="AR52" s="144" t="s">
        <v>2</v>
      </c>
      <c r="AS52" s="144"/>
      <c r="AT52" s="144"/>
      <c r="AU52" s="144"/>
      <c r="AV52" s="144"/>
      <c r="AW52" s="68"/>
      <c r="AX52" s="68"/>
      <c r="AY52" s="68"/>
      <c r="AZ52" s="70"/>
      <c r="BA52" s="68"/>
      <c r="BB52" s="70" t="s">
        <v>3</v>
      </c>
      <c r="BC52" s="68"/>
      <c r="BD52" s="17"/>
      <c r="BE52" s="2"/>
      <c r="BF52" s="73"/>
      <c r="BG52" s="74" t="s">
        <v>90</v>
      </c>
      <c r="BH52" s="74"/>
      <c r="BI52" s="74"/>
      <c r="BJ52" s="74"/>
      <c r="BK52" s="74"/>
      <c r="BL52" s="73"/>
      <c r="BN52" s="73"/>
      <c r="BO52" s="74" t="s">
        <v>174</v>
      </c>
      <c r="BP52" s="74"/>
      <c r="BQ52" s="74"/>
      <c r="BR52" s="74"/>
      <c r="BS52" s="74"/>
      <c r="BT52" s="73"/>
    </row>
    <row r="53" spans="28:72" ht="15.75" thickBot="1" x14ac:dyDescent="0.3">
      <c r="AB53" s="1"/>
      <c r="AC53" s="42"/>
      <c r="AD53" s="81">
        <f>_xlfn.ISOWEEKNUM(shiftDate)</f>
        <v>24</v>
      </c>
      <c r="AE53" s="81"/>
      <c r="AF53" s="81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19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0"/>
      <c r="BG53" s="93" t="s">
        <v>4</v>
      </c>
      <c r="BH53" s="43" t="s">
        <v>42</v>
      </c>
      <c r="BI53" s="4"/>
      <c r="BJ53" s="4"/>
      <c r="BK53" s="4"/>
      <c r="BL53" s="20"/>
      <c r="BN53" s="55"/>
      <c r="BO53" s="133" t="s">
        <v>165</v>
      </c>
      <c r="BP53" s="133"/>
      <c r="BQ53" s="90"/>
      <c r="BR53" s="14" t="s">
        <v>166</v>
      </c>
      <c r="BS53" s="14" t="s">
        <v>169</v>
      </c>
      <c r="BT53" s="55"/>
    </row>
    <row r="54" spans="28:72" ht="15.75" thickBot="1" x14ac:dyDescent="0.3">
      <c r="AB54" s="1"/>
      <c r="AC54" s="5" t="s">
        <v>5</v>
      </c>
      <c r="AD54" s="134">
        <v>45819</v>
      </c>
      <c r="AE54" s="135"/>
      <c r="AF54" s="136"/>
      <c r="AG54" s="43">
        <f>IF(shiftDate&lt;&gt;"",AD54-DATE(YEAR(AD54),1,0),"")</f>
        <v>162</v>
      </c>
      <c r="AH54" s="1"/>
      <c r="AI54" s="2"/>
      <c r="AJ54" s="17"/>
      <c r="AK54" s="1"/>
      <c r="AL54" s="1"/>
      <c r="AM54" s="1"/>
      <c r="AN54" s="21"/>
      <c r="AO54" s="22"/>
      <c r="AP54" s="23"/>
      <c r="AQ54" s="1"/>
      <c r="AR54" s="1"/>
      <c r="AS54" s="24"/>
      <c r="AT54" s="19"/>
      <c r="AU54" s="25"/>
      <c r="AV54" s="1"/>
      <c r="AW54" s="1"/>
      <c r="AX54" s="21"/>
      <c r="AY54" s="22"/>
      <c r="AZ54" s="23"/>
      <c r="BA54" s="1"/>
      <c r="BB54" s="1"/>
      <c r="BC54" s="1"/>
      <c r="BD54" s="17"/>
      <c r="BE54" s="2"/>
      <c r="BF54" s="20"/>
      <c r="BG54" s="93" t="s">
        <v>6</v>
      </c>
      <c r="BH54" s="77" t="s">
        <v>7</v>
      </c>
      <c r="BI54" s="4"/>
      <c r="BJ54" s="4"/>
      <c r="BK54" s="4"/>
      <c r="BL54" s="20"/>
      <c r="BN54" s="55"/>
      <c r="BO54" s="90"/>
      <c r="BP54" s="90" t="s">
        <v>167</v>
      </c>
      <c r="BQ54" s="90"/>
      <c r="BR54" s="92"/>
      <c r="BS54" s="92"/>
      <c r="BT54" s="55"/>
    </row>
    <row r="55" spans="28:72" ht="15.75" thickBot="1" x14ac:dyDescent="0.3">
      <c r="AB55" s="1"/>
      <c r="AC55" s="61" t="str">
        <f>IF(shiftDate&lt;&gt;"",CONCATENATE(TEXT(AD54,"JJMMAA"),"_",shiftVaccation,"_",SUBSTITUTE(shiftOperateur," ","")),"")</f>
        <v>110625_Après-Midi_JonathanNestoret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6"/>
      <c r="AO55" s="52">
        <v>36.229999999999997</v>
      </c>
      <c r="AP55" s="27"/>
      <c r="AQ55" s="1"/>
      <c r="AR55" s="1"/>
      <c r="AS55" s="24"/>
      <c r="AT55" s="40">
        <v>0.23</v>
      </c>
      <c r="AU55" s="25"/>
      <c r="AV55" s="1"/>
      <c r="AW55" s="1"/>
      <c r="AX55" s="26"/>
      <c r="AY55" s="52">
        <v>35.200000000000003</v>
      </c>
      <c r="AZ55" s="27"/>
      <c r="BA55" s="28" t="s">
        <v>8</v>
      </c>
      <c r="BB55" s="1"/>
      <c r="BC55" s="1"/>
      <c r="BD55" s="17"/>
      <c r="BE55" s="2"/>
      <c r="BF55" s="20"/>
      <c r="BG55" s="93" t="s">
        <v>9</v>
      </c>
      <c r="BH55" s="78">
        <v>3</v>
      </c>
      <c r="BI55" s="4"/>
      <c r="BJ55" s="4"/>
      <c r="BK55" s="4"/>
      <c r="BL55" s="20"/>
      <c r="BN55" s="55"/>
      <c r="BO55" s="90"/>
      <c r="BP55" s="90" t="s">
        <v>168</v>
      </c>
      <c r="BQ55" s="90"/>
      <c r="BR55" s="92"/>
      <c r="BS55" s="92"/>
      <c r="BT55" s="55"/>
    </row>
    <row r="56" spans="28:72" ht="15.75" thickBot="1" x14ac:dyDescent="0.3">
      <c r="AB56" s="1"/>
      <c r="AC56" s="5" t="s">
        <v>10</v>
      </c>
      <c r="AD56" s="137" t="s">
        <v>47</v>
      </c>
      <c r="AE56" s="138"/>
      <c r="AF56" s="139"/>
      <c r="AG56" s="12"/>
      <c r="AH56" s="1"/>
      <c r="AI56" s="2"/>
      <c r="AJ56" s="17"/>
      <c r="AK56" s="1"/>
      <c r="AL56" s="1"/>
      <c r="AM56" s="5" t="s">
        <v>11</v>
      </c>
      <c r="AN56" s="26"/>
      <c r="AO56" s="53">
        <v>35.479999999999997</v>
      </c>
      <c r="AP56" s="27"/>
      <c r="AQ56" s="1"/>
      <c r="AR56" s="1"/>
      <c r="AS56" s="29"/>
      <c r="AT56" s="30"/>
      <c r="AU56" s="31"/>
      <c r="AV56" s="1"/>
      <c r="AW56" s="1"/>
      <c r="AX56" s="26"/>
      <c r="AY56" s="53">
        <v>33.74</v>
      </c>
      <c r="AZ56" s="27"/>
      <c r="BA56" s="28" t="s">
        <v>11</v>
      </c>
      <c r="BB56" s="1"/>
      <c r="BC56" s="1"/>
      <c r="BD56" s="17"/>
      <c r="BE56" s="2"/>
      <c r="BF56" s="20"/>
      <c r="BG56" s="93" t="s">
        <v>43</v>
      </c>
      <c r="BH56" s="78">
        <v>0</v>
      </c>
      <c r="BI56" s="4"/>
      <c r="BJ56" s="4"/>
      <c r="BK56" s="4"/>
      <c r="BL56" s="20"/>
      <c r="BN56" s="55"/>
      <c r="BO56" s="90"/>
      <c r="BP56" s="90" t="s">
        <v>170</v>
      </c>
      <c r="BQ56" s="90"/>
      <c r="BR56" s="92"/>
      <c r="BS56" s="92"/>
      <c r="BT56" s="55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6"/>
      <c r="AO57" s="54">
        <v>33.81</v>
      </c>
      <c r="AP57" s="27"/>
      <c r="AQ57" s="1"/>
      <c r="AR57" s="1"/>
      <c r="AS57" s="65"/>
      <c r="AT57" s="65"/>
      <c r="AU57" s="65"/>
      <c r="AV57" s="1"/>
      <c r="AW57" s="1"/>
      <c r="AX57" s="26"/>
      <c r="AY57" s="54">
        <v>36.65</v>
      </c>
      <c r="AZ57" s="27"/>
      <c r="BA57" s="28" t="s">
        <v>12</v>
      </c>
      <c r="BB57" s="1"/>
      <c r="BC57" s="1"/>
      <c r="BD57" s="17"/>
      <c r="BE57" s="2"/>
      <c r="BF57" s="20"/>
      <c r="BG57" s="93" t="s">
        <v>13</v>
      </c>
      <c r="BH57" s="77" t="s">
        <v>7</v>
      </c>
      <c r="BI57" s="4"/>
      <c r="BJ57" s="4"/>
      <c r="BK57" s="4"/>
      <c r="BL57" s="20"/>
      <c r="BN57" s="55"/>
      <c r="BO57" s="133" t="s">
        <v>171</v>
      </c>
      <c r="BP57" s="133"/>
      <c r="BQ57" s="90"/>
      <c r="BR57" s="14" t="s">
        <v>172</v>
      </c>
      <c r="BS57" s="14" t="s">
        <v>173</v>
      </c>
      <c r="BT57" s="55"/>
    </row>
    <row r="58" spans="28:72" ht="15.75" thickBot="1" x14ac:dyDescent="0.25">
      <c r="AB58" s="1"/>
      <c r="AC58" s="5" t="s">
        <v>14</v>
      </c>
      <c r="AD58" s="40" t="s">
        <v>55</v>
      </c>
      <c r="AE58" s="12"/>
      <c r="AF58" s="41">
        <v>0.33333333333333331</v>
      </c>
      <c r="AG58" s="43">
        <f>IF(AF58&lt;&gt;"",AF58*24*60,"")</f>
        <v>480</v>
      </c>
      <c r="AH58" s="1"/>
      <c r="AI58" s="2"/>
      <c r="AJ58" s="17"/>
      <c r="AK58" s="1"/>
      <c r="AL58" s="1"/>
      <c r="AM58" s="3"/>
      <c r="AN58" s="32"/>
      <c r="AO58" s="83">
        <f>IF(COUNT(AO55:AO57)=3,ROUND(AVERAGE(AO55:AO57),2),"")</f>
        <v>35.17</v>
      </c>
      <c r="AP58" s="33"/>
      <c r="AQ58" s="1"/>
      <c r="AR58" s="1"/>
      <c r="AS58" s="44" t="s">
        <v>64</v>
      </c>
      <c r="AT58" s="76" t="s">
        <v>65</v>
      </c>
      <c r="AU58" s="1"/>
      <c r="AV58" s="1"/>
      <c r="AW58" s="1"/>
      <c r="AX58" s="32"/>
      <c r="AY58" s="83">
        <f>IF(COUNT(AY55:AY57)=3,ROUND(AVERAGE(AY55:AY57),2),"")</f>
        <v>35.200000000000003</v>
      </c>
      <c r="AZ58" s="33"/>
      <c r="BA58" s="1"/>
      <c r="BB58" s="1"/>
      <c r="BC58" s="1"/>
      <c r="BD58" s="17"/>
      <c r="BE58" s="2"/>
      <c r="BF58" s="20"/>
      <c r="BG58" s="93" t="s">
        <v>16</v>
      </c>
      <c r="BH58" s="78">
        <v>0</v>
      </c>
      <c r="BI58" s="4"/>
      <c r="BJ58" s="62" t="s">
        <v>41</v>
      </c>
      <c r="BK58" s="63" t="s">
        <v>17</v>
      </c>
      <c r="BL58" s="20"/>
      <c r="BN58" s="55"/>
      <c r="BO58" s="90"/>
      <c r="BP58" s="90" t="s">
        <v>164</v>
      </c>
      <c r="BQ58" s="90"/>
      <c r="BR58" s="92">
        <v>17.2</v>
      </c>
      <c r="BS58" s="14">
        <f>BR58/60</f>
        <v>0.28666666666666668</v>
      </c>
      <c r="BT58" s="55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61"/>
      <c r="AR59" s="71"/>
      <c r="AS59" s="71"/>
      <c r="AT59" s="61" t="s">
        <v>269</v>
      </c>
      <c r="AU59" s="72"/>
      <c r="AV59" s="71"/>
      <c r="AW59" s="1"/>
      <c r="AX59" s="1"/>
      <c r="AY59" s="1"/>
      <c r="AZ59" s="1"/>
      <c r="BA59" s="1"/>
      <c r="BB59" s="1"/>
      <c r="BC59" s="1"/>
      <c r="BD59" s="17"/>
      <c r="BE59" s="2"/>
      <c r="BF59" s="20"/>
      <c r="BG59" s="93" t="str">
        <f>CONCATENATE("ep &lt; ",BK59)</f>
        <v>ep &lt; 3,5</v>
      </c>
      <c r="BH59" s="78">
        <v>3</v>
      </c>
      <c r="BI59" s="4"/>
      <c r="BJ59" s="79">
        <v>4.2</v>
      </c>
      <c r="BK59" s="80">
        <v>3.5</v>
      </c>
      <c r="BL59" s="20"/>
      <c r="BN59" s="55"/>
      <c r="BO59" s="55"/>
      <c r="BP59" s="55"/>
      <c r="BQ59" s="55"/>
      <c r="BR59" s="55"/>
      <c r="BS59" s="55"/>
      <c r="BT59" s="55"/>
    </row>
    <row r="60" spans="28:72" x14ac:dyDescent="0.25">
      <c r="AB60" s="1"/>
      <c r="AC60" s="130" t="s">
        <v>40</v>
      </c>
      <c r="AD60" s="130"/>
      <c r="AE60" s="12"/>
      <c r="AF60" s="34" t="str">
        <f>IF(AC61="Démarrée","Longueur Enroulée PP","")</f>
        <v>Longueur Enroulée PP</v>
      </c>
      <c r="AG60" s="34"/>
      <c r="AH60" s="1"/>
      <c r="AI60" s="2"/>
      <c r="AJ60" s="17"/>
      <c r="AK60" s="68"/>
      <c r="AL60" s="69" t="s">
        <v>36</v>
      </c>
      <c r="AM60" s="68"/>
      <c r="AN60" s="68"/>
      <c r="AO60" s="68"/>
      <c r="AP60" s="68"/>
      <c r="AQ60" s="68"/>
      <c r="AR60" s="140"/>
      <c r="AS60" s="140"/>
      <c r="AT60" s="140"/>
      <c r="AU60" s="140"/>
      <c r="AV60" s="140"/>
      <c r="AW60" s="68"/>
      <c r="AX60" s="68"/>
      <c r="AY60" s="68"/>
      <c r="AZ60" s="68"/>
      <c r="BA60" s="68"/>
      <c r="BB60" s="70" t="s">
        <v>37</v>
      </c>
      <c r="BC60" s="68"/>
      <c r="BD60" s="17"/>
      <c r="BE60" s="2"/>
      <c r="BF60" s="20"/>
      <c r="BG60" s="93"/>
      <c r="BH60" s="13" t="s">
        <v>17</v>
      </c>
      <c r="BI60" s="127" t="s">
        <v>18</v>
      </c>
      <c r="BJ60" s="127"/>
      <c r="BK60" s="13" t="s">
        <v>19</v>
      </c>
      <c r="BL60" s="20"/>
      <c r="BN60" s="55"/>
      <c r="BO60" s="55"/>
      <c r="BP60" s="56"/>
      <c r="BQ60" s="55"/>
      <c r="BR60" s="85"/>
      <c r="BS60" s="85"/>
      <c r="BT60" s="55"/>
    </row>
    <row r="61" spans="28:72" ht="15.75" thickBot="1" x14ac:dyDescent="0.25">
      <c r="AB61" s="1"/>
      <c r="AC61" s="174" t="s">
        <v>71</v>
      </c>
      <c r="AD61" s="174"/>
      <c r="AE61" s="86"/>
      <c r="AF61" s="115">
        <v>9</v>
      </c>
      <c r="AG61" s="18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64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0"/>
      <c r="BG61" s="93" t="s">
        <v>20</v>
      </c>
      <c r="BH61" s="95">
        <v>20</v>
      </c>
      <c r="BI61" s="128">
        <v>30</v>
      </c>
      <c r="BJ61" s="128"/>
      <c r="BK61" s="95">
        <v>50</v>
      </c>
      <c r="BL61" s="20"/>
      <c r="BN61" s="55"/>
      <c r="BO61" s="55"/>
      <c r="BP61" s="56"/>
      <c r="BQ61" s="55"/>
      <c r="BR61" s="85"/>
      <c r="BS61" s="85"/>
      <c r="BT61" s="55"/>
    </row>
    <row r="62" spans="28:72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1"/>
      <c r="AM62" s="66" t="s">
        <v>66</v>
      </c>
      <c r="AN62" s="23"/>
      <c r="AO62" s="1"/>
      <c r="AP62" s="21"/>
      <c r="AQ62" s="66" t="s">
        <v>67</v>
      </c>
      <c r="AR62" s="23"/>
      <c r="AS62" s="1"/>
      <c r="AT62" s="64"/>
      <c r="AU62" s="1"/>
      <c r="AV62" s="21"/>
      <c r="AW62" s="66" t="s">
        <v>68</v>
      </c>
      <c r="AX62" s="23"/>
      <c r="AY62" s="1"/>
      <c r="AZ62" s="21"/>
      <c r="BA62" s="66" t="s">
        <v>69</v>
      </c>
      <c r="BB62" s="23"/>
      <c r="BC62" s="1"/>
      <c r="BD62" s="17"/>
      <c r="BE62" s="2"/>
      <c r="BF62" s="20"/>
      <c r="BG62" s="93" t="s">
        <v>21</v>
      </c>
      <c r="BH62" s="95">
        <v>0.14000000000000001</v>
      </c>
      <c r="BI62" s="128">
        <v>0.2</v>
      </c>
      <c r="BJ62" s="128"/>
      <c r="BK62" s="95">
        <v>0.35</v>
      </c>
      <c r="BL62" s="20"/>
      <c r="BN62" s="55"/>
      <c r="BO62" s="56"/>
      <c r="BP62" s="56"/>
      <c r="BQ62" s="55"/>
      <c r="BR62" s="85"/>
      <c r="BS62" s="85"/>
      <c r="BT62" s="55"/>
    </row>
    <row r="63" spans="28:72" ht="15.75" thickBot="1" x14ac:dyDescent="0.3">
      <c r="AB63" s="1"/>
      <c r="AC63" s="130" t="s">
        <v>44</v>
      </c>
      <c r="AD63" s="130"/>
      <c r="AE63" s="12"/>
      <c r="AF63" s="34" t="str">
        <f>IF(AC64="Démarrée","Longueur Enroulée FP","")</f>
        <v>Longueur Enroulée FP</v>
      </c>
      <c r="AG63" s="34"/>
      <c r="AH63" s="1"/>
      <c r="AI63" s="2"/>
      <c r="AJ63" s="17"/>
      <c r="AK63" s="1"/>
      <c r="AL63" s="26"/>
      <c r="AM63" s="40">
        <v>8.9999999999999993E-3</v>
      </c>
      <c r="AN63" s="27"/>
      <c r="AO63" s="4">
        <f>IF(COUNT(masseSurfaciqueGG,masseSurfaciqueGC)=2,AVERAGE(masseSurfaciqueGG,masseSurfaciqueGC),"")</f>
        <v>1.01E-2</v>
      </c>
      <c r="AP63" s="26"/>
      <c r="AQ63" s="40">
        <v>1.12E-2</v>
      </c>
      <c r="AR63" s="27"/>
      <c r="AS63" s="1"/>
      <c r="AT63" s="19"/>
      <c r="AU63" s="1"/>
      <c r="AV63" s="26"/>
      <c r="AW63" s="40">
        <v>1.14E-2</v>
      </c>
      <c r="AX63" s="27"/>
      <c r="AY63" s="4">
        <f>IF(COUNT(masseSurfaciqueDC,masseSurfaciqueDD)=2,AVERAGE(masseSurfaciqueDC,masseSurfaciqueDD),"")</f>
        <v>1.125E-2</v>
      </c>
      <c r="AZ63" s="26"/>
      <c r="BA63" s="40">
        <v>1.11E-2</v>
      </c>
      <c r="BB63" s="27"/>
      <c r="BC63" s="1"/>
      <c r="BD63" s="17"/>
      <c r="BE63" s="2"/>
      <c r="BF63" s="20"/>
      <c r="BG63" s="93" t="s">
        <v>22</v>
      </c>
      <c r="BH63" s="95">
        <v>72</v>
      </c>
      <c r="BI63" s="128">
        <v>81</v>
      </c>
      <c r="BJ63" s="128"/>
      <c r="BK63" s="95">
        <v>92</v>
      </c>
      <c r="BL63" s="20"/>
      <c r="BN63" s="55"/>
      <c r="BO63" s="55"/>
      <c r="BP63" s="56"/>
      <c r="BQ63" s="55"/>
      <c r="BR63" s="85"/>
      <c r="BS63" s="85"/>
      <c r="BT63" s="55"/>
    </row>
    <row r="64" spans="28:72" ht="15.75" thickBot="1" x14ac:dyDescent="0.3">
      <c r="AB64" s="1"/>
      <c r="AC64" s="174" t="s">
        <v>71</v>
      </c>
      <c r="AD64" s="174"/>
      <c r="AE64" s="86"/>
      <c r="AF64" s="115"/>
      <c r="AG64" s="18"/>
      <c r="AH64" s="1"/>
      <c r="AI64" s="2"/>
      <c r="AJ64" s="17"/>
      <c r="AK64" s="1"/>
      <c r="AL64" s="32"/>
      <c r="AM64" s="83">
        <f>masseSurfaciqueGG*4*2*1000</f>
        <v>72</v>
      </c>
      <c r="AN64" s="33"/>
      <c r="AO64" s="84">
        <f>IFERROR(AO63*4*2*1000,"")</f>
        <v>80.8</v>
      </c>
      <c r="AP64" s="32"/>
      <c r="AQ64" s="83">
        <f>masseSurfaciqueGC*4*2*1000</f>
        <v>89.6</v>
      </c>
      <c r="AR64" s="33"/>
      <c r="AS64" s="1"/>
      <c r="AT64" s="19"/>
      <c r="AU64" s="1"/>
      <c r="AV64" s="32"/>
      <c r="AW64" s="83">
        <f>masseSurfaciqueDC*4*2*1000</f>
        <v>91.2</v>
      </c>
      <c r="AX64" s="33"/>
      <c r="AY64" s="84">
        <f>IFERROR(AY63*4*2*1000,"")</f>
        <v>90</v>
      </c>
      <c r="AZ64" s="32"/>
      <c r="BA64" s="83">
        <f>masseSurfaciqueDD*4*2*1000</f>
        <v>88.8</v>
      </c>
      <c r="BB64" s="33"/>
      <c r="BC64" s="1"/>
      <c r="BD64" s="17"/>
      <c r="BE64" s="2"/>
      <c r="BF64" s="20"/>
      <c r="BG64" s="93" t="s">
        <v>23</v>
      </c>
      <c r="BH64" s="95">
        <v>8.9999999999999993E-3</v>
      </c>
      <c r="BI64" s="128">
        <v>1.1299999999999999E-2</v>
      </c>
      <c r="BJ64" s="128"/>
      <c r="BK64" s="95">
        <v>1.1900000000000001E-2</v>
      </c>
      <c r="BL64" s="20"/>
      <c r="BN64" s="55"/>
      <c r="BO64" s="55"/>
      <c r="BP64" s="56"/>
      <c r="BQ64" s="55"/>
      <c r="BR64" s="55"/>
      <c r="BS64" s="55"/>
      <c r="BT64" s="55"/>
    </row>
    <row r="65" spans="27:72" x14ac:dyDescent="0.25">
      <c r="AB65" s="1"/>
      <c r="AC65" s="34"/>
      <c r="AD65" s="34"/>
      <c r="AE65" s="34"/>
      <c r="AF65" s="34"/>
      <c r="AG65" s="34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19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0"/>
      <c r="BG65" s="94"/>
      <c r="BH65" s="96"/>
      <c r="BI65" s="96"/>
      <c r="BJ65" s="96"/>
      <c r="BK65" s="96"/>
      <c r="BL65" s="20"/>
      <c r="BN65" s="55"/>
      <c r="BO65" s="55"/>
      <c r="BP65" s="55"/>
      <c r="BQ65" s="55"/>
      <c r="BR65" s="85"/>
      <c r="BS65" s="85"/>
      <c r="BT65" s="55"/>
    </row>
    <row r="66" spans="27:72" x14ac:dyDescent="0.25">
      <c r="AB66" s="1"/>
      <c r="AC66" s="130" t="s">
        <v>25</v>
      </c>
      <c r="AD66" s="130"/>
      <c r="AE66" s="130"/>
      <c r="AF66" s="130"/>
      <c r="AG66" s="130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1"/>
      <c r="AC67" s="176"/>
      <c r="AD67" s="176"/>
      <c r="AE67" s="176"/>
      <c r="AF67" s="176"/>
      <c r="AG67" s="176"/>
      <c r="AH67" s="1"/>
      <c r="AI67" s="2"/>
      <c r="AJ67" s="35" t="s">
        <v>38</v>
      </c>
      <c r="AK67" s="36"/>
      <c r="AL67" s="36"/>
      <c r="AM67" s="36"/>
      <c r="AN67" s="36"/>
      <c r="AO67" s="36"/>
      <c r="AP67" s="36"/>
      <c r="AQ67" s="36"/>
      <c r="AR67" s="35"/>
      <c r="AS67" s="36"/>
      <c r="AT67" s="35"/>
      <c r="AU67" s="36"/>
      <c r="AV67" s="36"/>
      <c r="AW67" s="36"/>
      <c r="AX67" s="36"/>
      <c r="AY67" s="36"/>
      <c r="AZ67" s="36"/>
      <c r="BA67" s="36"/>
      <c r="BB67" s="36"/>
      <c r="BC67" s="36"/>
      <c r="BD67" s="35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132"/>
      <c r="AD68" s="132"/>
      <c r="AE68" s="132"/>
      <c r="AF68" s="132"/>
      <c r="AG68" s="132"/>
      <c r="AH68" s="1"/>
      <c r="AI68" s="2"/>
      <c r="AJ68" s="58"/>
      <c r="AK68" s="167">
        <v>1</v>
      </c>
      <c r="AL68" s="164"/>
      <c r="AM68" s="165"/>
      <c r="AN68" s="165"/>
      <c r="AO68" s="165"/>
      <c r="AP68" s="165"/>
      <c r="AQ68" s="165"/>
      <c r="AR68" s="164"/>
      <c r="AS68" s="168">
        <v>1</v>
      </c>
      <c r="AT68" s="59"/>
      <c r="AU68" s="168">
        <v>1</v>
      </c>
      <c r="AV68" s="164"/>
      <c r="AW68" s="165"/>
      <c r="AX68" s="165"/>
      <c r="AY68" s="165"/>
      <c r="AZ68" s="165"/>
      <c r="BA68" s="165"/>
      <c r="BB68" s="166"/>
      <c r="BC68" s="169">
        <v>1</v>
      </c>
      <c r="BD68" s="60"/>
      <c r="BE68" s="2"/>
      <c r="BF68" s="1"/>
      <c r="BG68" s="55"/>
      <c r="BH68" s="56"/>
      <c r="BI68" s="1"/>
      <c r="BJ68" s="44" t="s">
        <v>287</v>
      </c>
      <c r="BK68" s="4">
        <v>100</v>
      </c>
      <c r="BL68" s="1"/>
    </row>
    <row r="69" spans="27:72" ht="15.75" thickBot="1" x14ac:dyDescent="0.3">
      <c r="AB69" s="1"/>
      <c r="AC69" s="132"/>
      <c r="AD69" s="132"/>
      <c r="AE69" s="132"/>
      <c r="AF69" s="132"/>
      <c r="AG69" s="132"/>
      <c r="AH69" s="1"/>
      <c r="AI69" s="2"/>
      <c r="AJ69" s="58"/>
      <c r="AK69" s="167">
        <v>2</v>
      </c>
      <c r="AL69" s="164"/>
      <c r="AM69" s="165"/>
      <c r="AN69" s="165"/>
      <c r="AO69" s="165"/>
      <c r="AP69" s="165"/>
      <c r="AQ69" s="165"/>
      <c r="AR69" s="164"/>
      <c r="AS69" s="168">
        <v>2</v>
      </c>
      <c r="AT69" s="59"/>
      <c r="AU69" s="168">
        <v>2</v>
      </c>
      <c r="AV69" s="164"/>
      <c r="AW69" s="165"/>
      <c r="AX69" s="165"/>
      <c r="AY69" s="165"/>
      <c r="AZ69" s="165"/>
      <c r="BA69" s="165"/>
      <c r="BB69" s="166"/>
      <c r="BC69" s="169">
        <v>2</v>
      </c>
      <c r="BD69" s="60"/>
      <c r="BE69" s="2"/>
      <c r="BF69" s="1"/>
      <c r="BG69" s="5" t="s">
        <v>26</v>
      </c>
      <c r="BH69" s="6">
        <v>4321</v>
      </c>
      <c r="BI69" s="1"/>
      <c r="BJ69" s="173" t="s">
        <v>288</v>
      </c>
      <c r="BK69" s="4">
        <f>COUNTIF(dataRolls!B:B,OFNumber)</f>
        <v>8</v>
      </c>
      <c r="BL69" s="1"/>
    </row>
    <row r="70" spans="27:72" ht="15.75" thickBot="1" x14ac:dyDescent="0.3">
      <c r="AB70" s="1"/>
      <c r="AC70" s="132"/>
      <c r="AD70" s="132"/>
      <c r="AE70" s="132"/>
      <c r="AF70" s="132"/>
      <c r="AG70" s="132"/>
      <c r="AH70" s="1"/>
      <c r="AI70" s="2"/>
      <c r="AJ70" s="58"/>
      <c r="AK70" s="167">
        <v>3</v>
      </c>
      <c r="AL70" s="164"/>
      <c r="AM70" s="75"/>
      <c r="AN70" s="165"/>
      <c r="AO70" s="75"/>
      <c r="AP70" s="165"/>
      <c r="AQ70" s="75"/>
      <c r="AR70" s="164"/>
      <c r="AS70" s="168">
        <v>3</v>
      </c>
      <c r="AT70" s="59"/>
      <c r="AU70" s="168">
        <v>3</v>
      </c>
      <c r="AV70" s="164"/>
      <c r="AW70" s="75"/>
      <c r="AX70" s="165"/>
      <c r="AY70" s="75"/>
      <c r="AZ70" s="165"/>
      <c r="BA70" s="75"/>
      <c r="BB70" s="166"/>
      <c r="BC70" s="169">
        <v>3</v>
      </c>
      <c r="BD70" s="60"/>
      <c r="BE70" s="2"/>
      <c r="BF70" s="1"/>
      <c r="BG70" s="3"/>
      <c r="BH70" s="3"/>
      <c r="BI70" s="1"/>
      <c r="BJ70" s="44"/>
      <c r="BK70" s="1"/>
      <c r="BL70" s="1"/>
    </row>
    <row r="71" spans="27:72" ht="15.75" thickBot="1" x14ac:dyDescent="0.3">
      <c r="AB71" s="1"/>
      <c r="AC71" s="132"/>
      <c r="AD71" s="132"/>
      <c r="AE71" s="132"/>
      <c r="AF71" s="132"/>
      <c r="AG71" s="132"/>
      <c r="AH71" s="1"/>
      <c r="AI71" s="2"/>
      <c r="AJ71" s="58"/>
      <c r="AK71" s="167">
        <v>4</v>
      </c>
      <c r="AL71" s="164"/>
      <c r="AM71" s="170"/>
      <c r="AN71" s="165"/>
      <c r="AO71" s="170"/>
      <c r="AP71" s="165"/>
      <c r="AQ71" s="170"/>
      <c r="AR71" s="164"/>
      <c r="AS71" s="168">
        <v>4</v>
      </c>
      <c r="AT71" s="59"/>
      <c r="AU71" s="168">
        <v>4</v>
      </c>
      <c r="AV71" s="164"/>
      <c r="AW71" s="170"/>
      <c r="AX71" s="165"/>
      <c r="AY71" s="170"/>
      <c r="AZ71" s="165"/>
      <c r="BA71" s="170"/>
      <c r="BB71" s="166"/>
      <c r="BC71" s="169">
        <v>4</v>
      </c>
      <c r="BD71" s="60"/>
      <c r="BE71" s="2"/>
      <c r="BF71" s="1"/>
      <c r="BG71" s="5" t="s">
        <v>27</v>
      </c>
      <c r="BH71" s="6">
        <v>32</v>
      </c>
      <c r="BI71" s="18"/>
      <c r="BJ71" s="44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58"/>
      <c r="AK72" s="167">
        <v>5</v>
      </c>
      <c r="AL72" s="164"/>
      <c r="AM72" s="165"/>
      <c r="AN72" s="165"/>
      <c r="AO72" s="165"/>
      <c r="AP72" s="165"/>
      <c r="AQ72" s="165"/>
      <c r="AR72" s="164"/>
      <c r="AS72" s="168">
        <v>5</v>
      </c>
      <c r="AT72" s="59"/>
      <c r="AU72" s="168">
        <v>5</v>
      </c>
      <c r="AV72" s="164"/>
      <c r="AW72" s="165"/>
      <c r="AX72" s="165"/>
      <c r="AY72" s="165"/>
      <c r="AZ72" s="165"/>
      <c r="BA72" s="165"/>
      <c r="BB72" s="166"/>
      <c r="BC72" s="169">
        <v>5</v>
      </c>
      <c r="BD72" s="60"/>
      <c r="BE72" s="2"/>
      <c r="BF72" s="1"/>
      <c r="BG72" s="3"/>
      <c r="BH72" s="4"/>
      <c r="BI72" s="1"/>
      <c r="BJ72" s="44"/>
      <c r="BK72" s="1"/>
      <c r="BL72" s="1"/>
    </row>
    <row r="73" spans="27:72" ht="15.75" thickBot="1" x14ac:dyDescent="0.3">
      <c r="AA73" s="2"/>
      <c r="AB73" s="99"/>
      <c r="AC73" s="99"/>
      <c r="AD73" s="99"/>
      <c r="AE73" s="99"/>
      <c r="AF73" s="99"/>
      <c r="AG73" s="99"/>
      <c r="AH73" s="99"/>
      <c r="AI73" s="2"/>
      <c r="AJ73" s="58"/>
      <c r="AK73" s="167">
        <v>6</v>
      </c>
      <c r="AL73" s="164"/>
      <c r="AM73" s="165"/>
      <c r="AN73" s="165"/>
      <c r="AO73" s="165"/>
      <c r="AP73" s="165"/>
      <c r="AQ73" s="165"/>
      <c r="AR73" s="164"/>
      <c r="AS73" s="168">
        <v>6</v>
      </c>
      <c r="AT73" s="59"/>
      <c r="AU73" s="168">
        <v>6</v>
      </c>
      <c r="AV73" s="164"/>
      <c r="AW73" s="165"/>
      <c r="AX73" s="165"/>
      <c r="AY73" s="165"/>
      <c r="AZ73" s="165"/>
      <c r="BA73" s="165"/>
      <c r="BB73" s="166"/>
      <c r="BC73" s="169">
        <v>6</v>
      </c>
      <c r="BD73" s="60"/>
      <c r="BE73" s="2"/>
      <c r="BF73" s="1"/>
      <c r="BG73" s="5" t="s">
        <v>28</v>
      </c>
      <c r="BH73" s="6">
        <v>9999</v>
      </c>
      <c r="BI73" s="1"/>
      <c r="BJ73" s="44"/>
      <c r="BK73" s="1"/>
      <c r="BL73" s="1"/>
    </row>
    <row r="74" spans="27:72" x14ac:dyDescent="0.25">
      <c r="AA74" s="2"/>
      <c r="AB74" s="99"/>
      <c r="AC74" s="99"/>
      <c r="AD74" s="99"/>
      <c r="AE74" s="99"/>
      <c r="AF74" s="99"/>
      <c r="AG74" s="99"/>
      <c r="AH74" s="99"/>
      <c r="AI74" s="2"/>
      <c r="AJ74" s="58"/>
      <c r="AK74" s="167">
        <v>7</v>
      </c>
      <c r="AL74" s="164"/>
      <c r="AM74" s="165"/>
      <c r="AN74" s="165"/>
      <c r="AO74" s="165"/>
      <c r="AP74" s="165"/>
      <c r="AQ74" s="165"/>
      <c r="AR74" s="164"/>
      <c r="AS74" s="168">
        <v>7</v>
      </c>
      <c r="AT74" s="59"/>
      <c r="AU74" s="168">
        <v>7</v>
      </c>
      <c r="AV74" s="164"/>
      <c r="AW74" s="165"/>
      <c r="AX74" s="165"/>
      <c r="AY74" s="165"/>
      <c r="AZ74" s="165"/>
      <c r="BA74" s="165"/>
      <c r="BB74" s="166"/>
      <c r="BC74" s="169">
        <v>7</v>
      </c>
      <c r="BD74" s="60"/>
      <c r="BE74" s="2"/>
      <c r="BF74" s="1"/>
      <c r="BG74" s="3"/>
      <c r="BH74" s="4"/>
      <c r="BI74" s="1"/>
      <c r="BJ74" s="44"/>
      <c r="BK74" s="1"/>
      <c r="BL74" s="1"/>
    </row>
    <row r="75" spans="27:72" x14ac:dyDescent="0.25">
      <c r="AA75" s="2"/>
      <c r="AB75" s="99"/>
      <c r="AC75" s="99"/>
      <c r="AD75" s="99"/>
      <c r="AE75" s="99"/>
      <c r="AF75" s="99"/>
      <c r="AG75" s="99"/>
      <c r="AH75" s="99"/>
      <c r="AI75" s="2"/>
      <c r="AJ75" s="58"/>
      <c r="AK75" s="167">
        <v>8</v>
      </c>
      <c r="AL75" s="164"/>
      <c r="AM75" s="75"/>
      <c r="AN75" s="165"/>
      <c r="AO75" s="75"/>
      <c r="AP75" s="165"/>
      <c r="AQ75" s="75"/>
      <c r="AR75" s="164"/>
      <c r="AS75" s="168">
        <v>8</v>
      </c>
      <c r="AT75" s="59"/>
      <c r="AU75" s="168">
        <v>8</v>
      </c>
      <c r="AV75" s="164"/>
      <c r="AW75" s="75"/>
      <c r="AX75" s="165"/>
      <c r="AY75" s="75"/>
      <c r="AZ75" s="165"/>
      <c r="BA75" s="75"/>
      <c r="BB75" s="166"/>
      <c r="BC75" s="169">
        <v>8</v>
      </c>
      <c r="BD75" s="60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99"/>
      <c r="AC76" s="99"/>
      <c r="AD76" s="99"/>
      <c r="AE76" s="99"/>
      <c r="AF76" s="99"/>
      <c r="AG76" s="99"/>
      <c r="AH76" s="99"/>
      <c r="AI76" s="2"/>
      <c r="AJ76" s="58"/>
      <c r="AK76" s="167">
        <v>9</v>
      </c>
      <c r="AL76" s="164"/>
      <c r="AM76" s="170"/>
      <c r="AN76" s="165"/>
      <c r="AO76" s="170"/>
      <c r="AP76" s="165"/>
      <c r="AQ76" s="170"/>
      <c r="AR76" s="164"/>
      <c r="AS76" s="168">
        <v>9</v>
      </c>
      <c r="AT76" s="59"/>
      <c r="AU76" s="168">
        <v>9</v>
      </c>
      <c r="AV76" s="164"/>
      <c r="AW76" s="170"/>
      <c r="AX76" s="165"/>
      <c r="AY76" s="170"/>
      <c r="AZ76" s="165"/>
      <c r="BA76" s="170"/>
      <c r="BB76" s="166"/>
      <c r="BC76" s="169">
        <v>9</v>
      </c>
      <c r="BD76" s="60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2"/>
      <c r="AC77" s="87" t="s">
        <v>190</v>
      </c>
      <c r="AD77" s="87"/>
      <c r="AE77" s="87"/>
      <c r="AF77" s="88" t="s">
        <v>191</v>
      </c>
      <c r="AG77" s="89">
        <f>SUM(AG78:AG99)</f>
        <v>120</v>
      </c>
      <c r="AH77" s="2"/>
      <c r="AI77" s="2"/>
      <c r="AJ77" s="58"/>
      <c r="AK77" s="167">
        <v>10</v>
      </c>
      <c r="AL77" s="164"/>
      <c r="AM77" s="165"/>
      <c r="AN77" s="165"/>
      <c r="AO77" s="165"/>
      <c r="AP77" s="165"/>
      <c r="AQ77" s="165"/>
      <c r="AR77" s="164"/>
      <c r="AS77" s="168">
        <v>10</v>
      </c>
      <c r="AT77" s="59"/>
      <c r="AU77" s="168">
        <v>10</v>
      </c>
      <c r="AV77" s="164"/>
      <c r="AW77" s="165"/>
      <c r="AX77" s="165"/>
      <c r="AY77" s="165"/>
      <c r="AZ77" s="165"/>
      <c r="BA77" s="165"/>
      <c r="BB77" s="166"/>
      <c r="BC77" s="169">
        <v>10</v>
      </c>
      <c r="BD77" s="60"/>
      <c r="BE77" s="2"/>
      <c r="BF77" s="1"/>
      <c r="BG77" s="90"/>
      <c r="BH77" s="1"/>
      <c r="BI77" s="1"/>
      <c r="BJ77" s="130" t="s">
        <v>30</v>
      </c>
      <c r="BK77" s="130"/>
      <c r="BL77" s="1"/>
    </row>
    <row r="78" spans="27:72" ht="15.75" thickBot="1" x14ac:dyDescent="0.3">
      <c r="AA78" s="2"/>
      <c r="AB78" s="97"/>
      <c r="AC78" s="98" t="s">
        <v>181</v>
      </c>
      <c r="AD78" s="171"/>
      <c r="AE78" s="171"/>
      <c r="AF78" s="171"/>
      <c r="AG78" s="98">
        <v>0</v>
      </c>
      <c r="AH78" s="97"/>
      <c r="AI78" s="2"/>
      <c r="AJ78" s="58"/>
      <c r="AK78" s="167">
        <v>11</v>
      </c>
      <c r="AL78" s="164"/>
      <c r="AM78" s="165"/>
      <c r="AN78" s="165"/>
      <c r="AO78" s="165"/>
      <c r="AP78" s="165"/>
      <c r="AQ78" s="165"/>
      <c r="AR78" s="164"/>
      <c r="AS78" s="168">
        <v>11</v>
      </c>
      <c r="AT78" s="59"/>
      <c r="AU78" s="168">
        <v>11</v>
      </c>
      <c r="AV78" s="164"/>
      <c r="AW78" s="165"/>
      <c r="AX78" s="165"/>
      <c r="AY78" s="165"/>
      <c r="AZ78" s="165"/>
      <c r="BA78" s="165"/>
      <c r="BB78" s="166"/>
      <c r="BC78" s="169">
        <v>11</v>
      </c>
      <c r="BD78" s="60"/>
      <c r="BE78" s="2"/>
      <c r="BF78" s="1"/>
      <c r="BG78" s="5" t="s">
        <v>31</v>
      </c>
      <c r="BH78" s="172">
        <v>90</v>
      </c>
      <c r="BI78" s="1"/>
      <c r="BJ78" s="131" t="str">
        <f>IF(COUNTIF(BK85:BK86,TRUE)=2,"CONFORME","NON CONFORME")</f>
        <v>CONFORME</v>
      </c>
      <c r="BK78" s="131"/>
      <c r="BL78" s="1"/>
    </row>
    <row r="79" spans="27:72" ht="15.75" thickBot="1" x14ac:dyDescent="0.3">
      <c r="AA79" s="2"/>
      <c r="AB79" s="2"/>
      <c r="AC79" s="98" t="s">
        <v>188</v>
      </c>
      <c r="AD79" s="171"/>
      <c r="AE79" s="171"/>
      <c r="AF79" s="171"/>
      <c r="AG79" s="98">
        <v>120</v>
      </c>
      <c r="AH79" s="2"/>
      <c r="AI79" s="2"/>
      <c r="AJ79" s="58"/>
      <c r="AK79" s="167">
        <v>12</v>
      </c>
      <c r="AL79" s="164"/>
      <c r="AM79" s="165"/>
      <c r="AN79" s="165"/>
      <c r="AO79" s="165"/>
      <c r="AP79" s="165"/>
      <c r="AQ79" s="165"/>
      <c r="AR79" s="164"/>
      <c r="AS79" s="168">
        <v>12</v>
      </c>
      <c r="AT79" s="59"/>
      <c r="AU79" s="168">
        <v>12</v>
      </c>
      <c r="AV79" s="164"/>
      <c r="AW79" s="165"/>
      <c r="AX79" s="165"/>
      <c r="AY79" s="165"/>
      <c r="AZ79" s="165"/>
      <c r="BA79" s="165"/>
      <c r="BB79" s="166"/>
      <c r="BC79" s="169">
        <v>12</v>
      </c>
      <c r="BD79" s="60"/>
      <c r="BE79" s="2"/>
      <c r="BF79" s="13"/>
      <c r="BG79" s="57">
        <f>IF(productRollStatus="CONFORME",OFNumber,CutOFNumber)</f>
        <v>4321</v>
      </c>
      <c r="BH79" s="14" t="str">
        <f>IF(BJ78="CONFORME",CONCATENATE(OFNumber,"-",BH78),"")</f>
        <v>4321-90</v>
      </c>
      <c r="BI79" s="1"/>
      <c r="BJ79" s="131"/>
      <c r="BK79" s="131"/>
      <c r="BL79" s="1"/>
    </row>
    <row r="80" spans="27:72" x14ac:dyDescent="0.25">
      <c r="AA80" s="2"/>
      <c r="AB80" s="2"/>
      <c r="AC80" s="98"/>
      <c r="AD80" s="98"/>
      <c r="AE80" s="98"/>
      <c r="AF80" s="98"/>
      <c r="AG80" s="98"/>
      <c r="AH80" s="2"/>
      <c r="AI80" s="2"/>
      <c r="AJ80" s="58"/>
      <c r="AK80" s="167">
        <v>13</v>
      </c>
      <c r="AL80" s="164"/>
      <c r="AM80" s="75"/>
      <c r="AN80" s="165"/>
      <c r="AO80" s="75"/>
      <c r="AP80" s="165"/>
      <c r="AQ80" s="75"/>
      <c r="AR80" s="164"/>
      <c r="AS80" s="168">
        <v>13</v>
      </c>
      <c r="AT80" s="59"/>
      <c r="AU80" s="168">
        <v>13</v>
      </c>
      <c r="AV80" s="164"/>
      <c r="AW80" s="75"/>
      <c r="AX80" s="165"/>
      <c r="AY80" s="75"/>
      <c r="AZ80" s="165"/>
      <c r="BA80" s="75"/>
      <c r="BB80" s="166"/>
      <c r="BC80" s="169">
        <v>13</v>
      </c>
      <c r="BD80" s="60"/>
      <c r="BE80" s="2"/>
      <c r="BF80" s="1"/>
      <c r="BG80" s="5" t="s">
        <v>32</v>
      </c>
      <c r="BH80" s="52">
        <v>911</v>
      </c>
      <c r="BI80" s="1"/>
      <c r="BJ80" s="129" t="str">
        <f>IF(productRollID&lt;&gt;"",IF(COUNTIF(dataRolls!A:A,productRollID)&gt;0,"Un rouleau avec cet ID existe déjà",""),"")</f>
        <v/>
      </c>
      <c r="BK80" s="129"/>
      <c r="BL80" s="1"/>
    </row>
    <row r="81" spans="27:64" ht="15.75" thickBot="1" x14ac:dyDescent="0.3">
      <c r="AA81" s="2"/>
      <c r="AB81" s="2"/>
      <c r="AC81" s="98"/>
      <c r="AD81" s="98"/>
      <c r="AE81" s="98"/>
      <c r="AF81" s="98"/>
      <c r="AG81" s="98"/>
      <c r="AH81" s="2"/>
      <c r="AI81" s="2"/>
      <c r="AJ81" s="58"/>
      <c r="AK81" s="167">
        <v>14</v>
      </c>
      <c r="AL81" s="164"/>
      <c r="AM81" s="170"/>
      <c r="AN81" s="165"/>
      <c r="AO81" s="170"/>
      <c r="AP81" s="165"/>
      <c r="AQ81" s="170"/>
      <c r="AR81" s="164"/>
      <c r="AS81" s="168">
        <v>14</v>
      </c>
      <c r="AT81" s="59"/>
      <c r="AU81" s="168">
        <v>14</v>
      </c>
      <c r="AV81" s="164"/>
      <c r="AW81" s="170"/>
      <c r="AX81" s="165"/>
      <c r="AY81" s="170"/>
      <c r="AZ81" s="165"/>
      <c r="BA81" s="170"/>
      <c r="BB81" s="166"/>
      <c r="BC81" s="169">
        <v>14</v>
      </c>
      <c r="BD81" s="60"/>
      <c r="BE81" s="2"/>
      <c r="BF81" s="1"/>
      <c r="BG81" s="5" t="s">
        <v>33</v>
      </c>
      <c r="BH81" s="53">
        <v>3456</v>
      </c>
      <c r="BI81" s="15"/>
      <c r="BJ81" s="129"/>
      <c r="BK81" s="129"/>
      <c r="BL81" s="1"/>
    </row>
    <row r="82" spans="27:64" ht="15.75" customHeight="1" thickBot="1" x14ac:dyDescent="0.3">
      <c r="AA82" s="2"/>
      <c r="AB82" s="2"/>
      <c r="AC82" s="98"/>
      <c r="AD82" s="98"/>
      <c r="AE82" s="98"/>
      <c r="AF82" s="98"/>
      <c r="AG82" s="98"/>
      <c r="AH82" s="2"/>
      <c r="AI82" s="2"/>
      <c r="AJ82" s="58"/>
      <c r="AK82" s="167">
        <v>15</v>
      </c>
      <c r="AL82" s="164"/>
      <c r="AM82" s="165"/>
      <c r="AN82" s="165"/>
      <c r="AO82" s="165"/>
      <c r="AP82" s="165"/>
      <c r="AQ82" s="165"/>
      <c r="AR82" s="164"/>
      <c r="AS82" s="168">
        <v>15</v>
      </c>
      <c r="AT82" s="59"/>
      <c r="AU82" s="168">
        <v>15</v>
      </c>
      <c r="AV82" s="164"/>
      <c r="AW82" s="165"/>
      <c r="AX82" s="165"/>
      <c r="AY82" s="165"/>
      <c r="AZ82" s="165"/>
      <c r="BA82" s="165"/>
      <c r="BB82" s="166"/>
      <c r="BC82" s="169">
        <v>15</v>
      </c>
      <c r="BD82" s="60"/>
      <c r="BE82" s="2"/>
      <c r="BF82" s="1"/>
      <c r="BG82" s="5" t="s">
        <v>34</v>
      </c>
      <c r="BH82" s="54">
        <v>32</v>
      </c>
      <c r="BI82" s="1"/>
      <c r="BJ82" s="5" t="s">
        <v>35</v>
      </c>
      <c r="BK82" s="40">
        <v>890</v>
      </c>
      <c r="BL82" s="1"/>
    </row>
    <row r="83" spans="27:64" ht="15" customHeight="1" x14ac:dyDescent="0.25">
      <c r="AA83" s="2"/>
      <c r="AB83" s="2"/>
      <c r="AC83" s="98"/>
      <c r="AD83" s="98"/>
      <c r="AE83" s="98"/>
      <c r="AF83" s="98"/>
      <c r="AG83" s="98"/>
      <c r="AH83" s="2"/>
      <c r="AI83" s="2"/>
      <c r="AJ83" s="58"/>
      <c r="AK83" s="167">
        <v>16</v>
      </c>
      <c r="AL83" s="164"/>
      <c r="AM83" s="165"/>
      <c r="AN83" s="165"/>
      <c r="AO83" s="165"/>
      <c r="AP83" s="165"/>
      <c r="AQ83" s="165"/>
      <c r="AR83" s="164"/>
      <c r="AS83" s="168">
        <v>16</v>
      </c>
      <c r="AT83" s="59"/>
      <c r="AU83" s="168">
        <v>16</v>
      </c>
      <c r="AV83" s="164"/>
      <c r="AW83" s="165"/>
      <c r="AX83" s="165"/>
      <c r="AY83" s="165"/>
      <c r="AZ83" s="165"/>
      <c r="BA83" s="165"/>
      <c r="BB83" s="166"/>
      <c r="BC83" s="169">
        <v>16</v>
      </c>
      <c r="BD83" s="60"/>
      <c r="BE83" s="2"/>
      <c r="BF83" s="1"/>
      <c r="BG83" s="55">
        <f>productRollTotalWeight-productRollPipeWeight</f>
        <v>2545</v>
      </c>
      <c r="BH83" s="56" t="s">
        <v>62</v>
      </c>
      <c r="BI83" s="19"/>
      <c r="BJ83" s="55">
        <f>BG83/productRollLength</f>
        <v>79.53125</v>
      </c>
      <c r="BK83" s="56" t="s">
        <v>61</v>
      </c>
      <c r="BL83" s="1"/>
    </row>
    <row r="84" spans="27:64" x14ac:dyDescent="0.25">
      <c r="AA84" s="2"/>
      <c r="AB84" s="2"/>
      <c r="AC84" s="98"/>
      <c r="AD84" s="98"/>
      <c r="AE84" s="98"/>
      <c r="AF84" s="98"/>
      <c r="AG84" s="98"/>
      <c r="AH84" s="2"/>
      <c r="AI84" s="2"/>
      <c r="AJ84" s="58"/>
      <c r="AK84" s="167">
        <v>17</v>
      </c>
      <c r="AL84" s="164"/>
      <c r="AM84" s="165"/>
      <c r="AN84" s="165"/>
      <c r="AO84" s="165"/>
      <c r="AP84" s="165"/>
      <c r="AQ84" s="165"/>
      <c r="AR84" s="164"/>
      <c r="AS84" s="168">
        <v>17</v>
      </c>
      <c r="AT84" s="59"/>
      <c r="AU84" s="168">
        <v>17</v>
      </c>
      <c r="AV84" s="164"/>
      <c r="AW84" s="165"/>
      <c r="AX84" s="165"/>
      <c r="AY84" s="165"/>
      <c r="AZ84" s="165"/>
      <c r="BA84" s="165"/>
      <c r="BB84" s="166"/>
      <c r="BC84" s="169">
        <v>17</v>
      </c>
      <c r="BD84" s="60"/>
      <c r="BE84" s="2"/>
      <c r="BF84" s="100"/>
      <c r="BG84" s="101"/>
      <c r="BH84" s="102"/>
      <c r="BI84" s="100"/>
      <c r="BJ84" s="101"/>
      <c r="BK84" s="103"/>
      <c r="BL84" s="100"/>
    </row>
    <row r="85" spans="27:64" x14ac:dyDescent="0.25">
      <c r="AA85" s="2"/>
      <c r="AB85" s="2"/>
      <c r="AC85" s="98"/>
      <c r="AD85" s="98"/>
      <c r="AE85" s="98"/>
      <c r="AF85" s="98"/>
      <c r="AG85" s="98"/>
      <c r="AH85" s="2"/>
      <c r="AI85" s="2"/>
      <c r="AJ85" s="58"/>
      <c r="AK85" s="167">
        <v>18</v>
      </c>
      <c r="AL85" s="164"/>
      <c r="AM85" s="75"/>
      <c r="AN85" s="165"/>
      <c r="AO85" s="75"/>
      <c r="AP85" s="165"/>
      <c r="AQ85" s="75"/>
      <c r="AR85" s="164"/>
      <c r="AS85" s="168">
        <v>18</v>
      </c>
      <c r="AT85" s="59"/>
      <c r="AU85" s="168">
        <v>18</v>
      </c>
      <c r="AV85" s="164"/>
      <c r="AW85" s="75"/>
      <c r="AX85" s="165"/>
      <c r="AY85" s="75"/>
      <c r="AZ85" s="165"/>
      <c r="BA85" s="75"/>
      <c r="BB85" s="166"/>
      <c r="BC85" s="169">
        <v>18</v>
      </c>
      <c r="BD85" s="60"/>
      <c r="BE85" s="2"/>
      <c r="BF85" s="11"/>
      <c r="BG85" s="104"/>
      <c r="BH85" s="105"/>
      <c r="BI85" s="105"/>
      <c r="BJ85" s="105"/>
      <c r="BK85" s="106" t="b">
        <v>1</v>
      </c>
      <c r="BL85" s="11"/>
    </row>
    <row r="86" spans="27:64" x14ac:dyDescent="0.25">
      <c r="AB86" s="2"/>
      <c r="AC86" s="98"/>
      <c r="AD86" s="98"/>
      <c r="AE86" s="98"/>
      <c r="AF86" s="98"/>
      <c r="AG86" s="98"/>
      <c r="AH86" s="2"/>
      <c r="AI86" s="2"/>
      <c r="AJ86" s="58"/>
      <c r="AK86" s="167">
        <v>19</v>
      </c>
      <c r="AL86" s="164"/>
      <c r="AM86" s="170"/>
      <c r="AN86" s="165"/>
      <c r="AO86" s="170"/>
      <c r="AP86" s="165"/>
      <c r="AQ86" s="170"/>
      <c r="AR86" s="164"/>
      <c r="AS86" s="168">
        <v>19</v>
      </c>
      <c r="AT86" s="59"/>
      <c r="AU86" s="168">
        <v>19</v>
      </c>
      <c r="AV86" s="164"/>
      <c r="AW86" s="170"/>
      <c r="AX86" s="165"/>
      <c r="AY86" s="170"/>
      <c r="AZ86" s="165"/>
      <c r="BA86" s="170"/>
      <c r="BB86" s="166"/>
      <c r="BC86" s="169">
        <v>19</v>
      </c>
      <c r="BD86" s="60"/>
      <c r="BE86" s="2"/>
      <c r="BF86" s="11"/>
      <c r="BG86" s="104"/>
      <c r="BH86" s="105"/>
      <c r="BI86" s="105"/>
      <c r="BJ86" s="105"/>
      <c r="BK86" s="106" t="b">
        <v>1</v>
      </c>
      <c r="BL86" s="11"/>
    </row>
    <row r="87" spans="27:64" x14ac:dyDescent="0.25">
      <c r="AB87" s="2"/>
      <c r="AC87" s="98"/>
      <c r="AD87" s="98"/>
      <c r="AE87" s="98"/>
      <c r="AF87" s="98"/>
      <c r="AG87" s="98"/>
      <c r="AH87" s="2"/>
      <c r="AI87" s="2"/>
      <c r="AJ87" s="58"/>
      <c r="AK87" s="167">
        <v>20</v>
      </c>
      <c r="AL87" s="164"/>
      <c r="AM87" s="165"/>
      <c r="AN87" s="165"/>
      <c r="AO87" s="165"/>
      <c r="AP87" s="165"/>
      <c r="AQ87" s="165"/>
      <c r="AR87" s="164"/>
      <c r="AS87" s="168">
        <v>20</v>
      </c>
      <c r="AT87" s="59"/>
      <c r="AU87" s="168">
        <v>20</v>
      </c>
      <c r="AV87" s="164"/>
      <c r="AW87" s="165"/>
      <c r="AX87" s="165"/>
      <c r="AY87" s="165"/>
      <c r="AZ87" s="165"/>
      <c r="BA87" s="165"/>
      <c r="BB87" s="166"/>
      <c r="BC87" s="169">
        <v>20</v>
      </c>
      <c r="BD87" s="60"/>
      <c r="BE87" s="2"/>
      <c r="BF87" s="99"/>
      <c r="BG87" s="107"/>
      <c r="BH87" s="108"/>
      <c r="BI87" s="108"/>
      <c r="BJ87" s="108"/>
      <c r="BK87" s="109"/>
      <c r="BL87" s="99"/>
    </row>
    <row r="88" spans="27:64" x14ac:dyDescent="0.25">
      <c r="AB88" s="2"/>
      <c r="AC88" s="98"/>
      <c r="AD88" s="98"/>
      <c r="AE88" s="98"/>
      <c r="AF88" s="98"/>
      <c r="AG88" s="98"/>
      <c r="AH88" s="2"/>
      <c r="AI88" s="2"/>
      <c r="AJ88" s="58"/>
      <c r="AK88" s="167">
        <v>21</v>
      </c>
      <c r="AL88" s="164"/>
      <c r="AM88" s="165"/>
      <c r="AN88" s="165"/>
      <c r="AO88" s="165"/>
      <c r="AP88" s="165"/>
      <c r="AQ88" s="165"/>
      <c r="AR88" s="164"/>
      <c r="AS88" s="168">
        <v>21</v>
      </c>
      <c r="AT88" s="59"/>
      <c r="AU88" s="168">
        <v>21</v>
      </c>
      <c r="AV88" s="164"/>
      <c r="AW88" s="165"/>
      <c r="AX88" s="165"/>
      <c r="AY88" s="165"/>
      <c r="AZ88" s="165"/>
      <c r="BA88" s="165"/>
      <c r="BB88" s="166"/>
      <c r="BC88" s="169">
        <v>21</v>
      </c>
      <c r="BD88" s="60"/>
      <c r="BE88" s="2"/>
      <c r="BF88" s="2"/>
      <c r="BG88" s="49"/>
      <c r="BH88" s="16"/>
      <c r="BI88" s="16"/>
      <c r="BJ88" s="16"/>
      <c r="BK88" s="47"/>
      <c r="BL88" s="2"/>
    </row>
    <row r="89" spans="27:64" x14ac:dyDescent="0.25">
      <c r="AB89" s="2"/>
      <c r="AC89" s="98"/>
      <c r="AD89" s="98"/>
      <c r="AE89" s="98"/>
      <c r="AF89" s="98"/>
      <c r="AG89" s="98"/>
      <c r="AH89" s="2"/>
      <c r="AI89" s="2"/>
      <c r="AJ89" s="58"/>
      <c r="AK89" s="167">
        <v>22</v>
      </c>
      <c r="AL89" s="164"/>
      <c r="AM89" s="165"/>
      <c r="AN89" s="165"/>
      <c r="AO89" s="165"/>
      <c r="AP89" s="165"/>
      <c r="AQ89" s="165"/>
      <c r="AR89" s="164"/>
      <c r="AS89" s="168">
        <v>22</v>
      </c>
      <c r="AT89" s="59"/>
      <c r="AU89" s="168">
        <v>22</v>
      </c>
      <c r="AV89" s="164"/>
      <c r="AW89" s="165"/>
      <c r="AX89" s="165"/>
      <c r="AY89" s="165"/>
      <c r="AZ89" s="165"/>
      <c r="BA89" s="165"/>
      <c r="BB89" s="166"/>
      <c r="BC89" s="169">
        <v>22</v>
      </c>
      <c r="BD89" s="60"/>
      <c r="BE89" s="2"/>
      <c r="BF89" s="2"/>
      <c r="BG89" s="45"/>
      <c r="BH89" s="45"/>
      <c r="BI89" s="45"/>
      <c r="BJ89" s="46"/>
      <c r="BK89" s="48"/>
      <c r="BL89" s="2"/>
    </row>
    <row r="90" spans="27:64" x14ac:dyDescent="0.25">
      <c r="AB90" s="2"/>
      <c r="AC90" s="98"/>
      <c r="AD90" s="98"/>
      <c r="AE90" s="98"/>
      <c r="AF90" s="98"/>
      <c r="AG90" s="98"/>
      <c r="AH90" s="2"/>
      <c r="AI90" s="2"/>
      <c r="AJ90" s="58"/>
      <c r="AK90" s="167">
        <v>23</v>
      </c>
      <c r="AL90" s="164"/>
      <c r="AM90" s="75"/>
      <c r="AN90" s="165"/>
      <c r="AO90" s="75"/>
      <c r="AP90" s="165"/>
      <c r="AQ90" s="75"/>
      <c r="AR90" s="164"/>
      <c r="AS90" s="168">
        <v>23</v>
      </c>
      <c r="AT90" s="59"/>
      <c r="AU90" s="168">
        <v>23</v>
      </c>
      <c r="AV90" s="164"/>
      <c r="AW90" s="75"/>
      <c r="AX90" s="165"/>
      <c r="AY90" s="75"/>
      <c r="AZ90" s="165"/>
      <c r="BA90" s="75"/>
      <c r="BB90" s="166"/>
      <c r="BC90" s="169">
        <v>23</v>
      </c>
      <c r="BD90" s="60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98"/>
      <c r="AD91" s="98"/>
      <c r="AE91" s="98"/>
      <c r="AF91" s="98"/>
      <c r="AG91" s="98"/>
      <c r="AH91" s="2"/>
      <c r="AI91" s="2"/>
      <c r="AJ91" s="58"/>
      <c r="AK91" s="167">
        <v>24</v>
      </c>
      <c r="AL91" s="164"/>
      <c r="AM91" s="170"/>
      <c r="AN91" s="165"/>
      <c r="AO91" s="170"/>
      <c r="AP91" s="165"/>
      <c r="AQ91" s="170"/>
      <c r="AR91" s="164"/>
      <c r="AS91" s="168">
        <v>24</v>
      </c>
      <c r="AT91" s="59"/>
      <c r="AU91" s="168">
        <v>24</v>
      </c>
      <c r="AV91" s="164"/>
      <c r="AW91" s="170"/>
      <c r="AX91" s="165"/>
      <c r="AY91" s="170"/>
      <c r="AZ91" s="165"/>
      <c r="BA91" s="170"/>
      <c r="BB91" s="166"/>
      <c r="BC91" s="169">
        <v>24</v>
      </c>
      <c r="BD91" s="60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98"/>
      <c r="AD92" s="98"/>
      <c r="AE92" s="98"/>
      <c r="AF92" s="98"/>
      <c r="AG92" s="98"/>
      <c r="AH92" s="2"/>
      <c r="AI92" s="2"/>
      <c r="AJ92" s="58"/>
      <c r="AK92" s="167">
        <v>25</v>
      </c>
      <c r="AL92" s="164"/>
      <c r="AM92" s="165"/>
      <c r="AN92" s="165"/>
      <c r="AO92" s="165"/>
      <c r="AP92" s="165"/>
      <c r="AQ92" s="165"/>
      <c r="AR92" s="164"/>
      <c r="AS92" s="168">
        <v>25</v>
      </c>
      <c r="AT92" s="59"/>
      <c r="AU92" s="168">
        <v>25</v>
      </c>
      <c r="AV92" s="164"/>
      <c r="AW92" s="165"/>
      <c r="AX92" s="165"/>
      <c r="AY92" s="165"/>
      <c r="AZ92" s="165"/>
      <c r="BA92" s="165"/>
      <c r="BB92" s="166"/>
      <c r="BC92" s="169">
        <v>25</v>
      </c>
      <c r="BD92" s="60"/>
      <c r="BE92" s="2"/>
      <c r="BF92" s="2"/>
      <c r="BG92" s="88" t="s">
        <v>60</v>
      </c>
      <c r="BH92" s="2"/>
      <c r="BI92" s="2"/>
      <c r="BJ92" s="2"/>
      <c r="BK92" s="2"/>
      <c r="BL92" s="2"/>
    </row>
    <row r="93" spans="27:64" x14ac:dyDescent="0.25">
      <c r="AB93" s="2"/>
      <c r="AC93" s="98"/>
      <c r="AD93" s="98"/>
      <c r="AE93" s="98"/>
      <c r="AF93" s="98"/>
      <c r="AG93" s="98"/>
      <c r="AH93" s="2"/>
      <c r="AI93" s="2"/>
      <c r="AJ93" s="58"/>
      <c r="AK93" s="167">
        <v>26</v>
      </c>
      <c r="AL93" s="164"/>
      <c r="AM93" s="165"/>
      <c r="AN93" s="165"/>
      <c r="AO93" s="165"/>
      <c r="AP93" s="165"/>
      <c r="AQ93" s="165"/>
      <c r="AR93" s="164"/>
      <c r="AS93" s="168">
        <v>26</v>
      </c>
      <c r="AT93" s="59"/>
      <c r="AU93" s="168">
        <v>26</v>
      </c>
      <c r="AV93" s="164"/>
      <c r="AW93" s="165"/>
      <c r="AX93" s="165"/>
      <c r="AY93" s="165"/>
      <c r="AZ93" s="165"/>
      <c r="BA93" s="165"/>
      <c r="BB93" s="166"/>
      <c r="BC93" s="169">
        <v>26</v>
      </c>
      <c r="BD93" s="60"/>
      <c r="BE93" s="2"/>
      <c r="BF93" s="2"/>
      <c r="BG93" s="88" t="str">
        <f>params!E1</f>
        <v>NON</v>
      </c>
      <c r="BH93" s="2"/>
      <c r="BI93" s="2"/>
      <c r="BJ93" s="2"/>
      <c r="BK93" s="2"/>
      <c r="BL93" s="2"/>
    </row>
    <row r="94" spans="27:64" x14ac:dyDescent="0.25">
      <c r="AB94" s="2"/>
      <c r="AC94" s="98"/>
      <c r="AD94" s="98"/>
      <c r="AE94" s="98"/>
      <c r="AF94" s="98"/>
      <c r="AG94" s="98"/>
      <c r="AH94" s="2"/>
      <c r="AI94" s="2"/>
      <c r="AJ94" s="58"/>
      <c r="AK94" s="167">
        <v>27</v>
      </c>
      <c r="AL94" s="164"/>
      <c r="AM94" s="165"/>
      <c r="AN94" s="165"/>
      <c r="AO94" s="165"/>
      <c r="AP94" s="165"/>
      <c r="AQ94" s="165"/>
      <c r="AR94" s="164"/>
      <c r="AS94" s="168">
        <v>27</v>
      </c>
      <c r="AT94" s="59"/>
      <c r="AU94" s="168">
        <v>27</v>
      </c>
      <c r="AV94" s="164"/>
      <c r="AW94" s="165"/>
      <c r="AX94" s="165"/>
      <c r="AY94" s="165"/>
      <c r="AZ94" s="165"/>
      <c r="BA94" s="165"/>
      <c r="BB94" s="166"/>
      <c r="BC94" s="169">
        <v>27</v>
      </c>
      <c r="BD94" s="60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98"/>
      <c r="AD95" s="98"/>
      <c r="AE95" s="98"/>
      <c r="AF95" s="98"/>
      <c r="AG95" s="98"/>
      <c r="AH95" s="2"/>
      <c r="AI95" s="2"/>
      <c r="AJ95" s="58"/>
      <c r="AK95" s="167">
        <v>28</v>
      </c>
      <c r="AL95" s="164"/>
      <c r="AM95" s="75"/>
      <c r="AN95" s="165"/>
      <c r="AO95" s="75"/>
      <c r="AP95" s="165"/>
      <c r="AQ95" s="75"/>
      <c r="AR95" s="164"/>
      <c r="AS95" s="168">
        <v>28</v>
      </c>
      <c r="AT95" s="59"/>
      <c r="AU95" s="168">
        <v>28</v>
      </c>
      <c r="AV95" s="164"/>
      <c r="AW95" s="75"/>
      <c r="AX95" s="165"/>
      <c r="AY95" s="75"/>
      <c r="AZ95" s="165"/>
      <c r="BA95" s="75"/>
      <c r="BB95" s="166"/>
      <c r="BC95" s="169">
        <v>28</v>
      </c>
      <c r="BD95" s="60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98"/>
      <c r="AD96" s="98"/>
      <c r="AE96" s="98"/>
      <c r="AF96" s="98"/>
      <c r="AG96" s="98"/>
      <c r="AH96" s="2"/>
      <c r="AI96" s="2"/>
      <c r="AJ96" s="58"/>
      <c r="AK96" s="167">
        <v>29</v>
      </c>
      <c r="AL96" s="164"/>
      <c r="AM96" s="170"/>
      <c r="AN96" s="165"/>
      <c r="AO96" s="170"/>
      <c r="AP96" s="165"/>
      <c r="AQ96" s="170"/>
      <c r="AR96" s="164"/>
      <c r="AS96" s="168">
        <v>29</v>
      </c>
      <c r="AT96" s="59"/>
      <c r="AU96" s="168">
        <v>29</v>
      </c>
      <c r="AV96" s="164"/>
      <c r="AW96" s="170"/>
      <c r="AX96" s="165"/>
      <c r="AY96" s="170"/>
      <c r="AZ96" s="165"/>
      <c r="BA96" s="170"/>
      <c r="BB96" s="166"/>
      <c r="BC96" s="169">
        <v>29</v>
      </c>
      <c r="BD96" s="60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98"/>
      <c r="AD97" s="98"/>
      <c r="AE97" s="98"/>
      <c r="AF97" s="98"/>
      <c r="AG97" s="98"/>
      <c r="AH97" s="2"/>
      <c r="AI97" s="2"/>
      <c r="AJ97" s="58"/>
      <c r="AK97" s="167">
        <v>30</v>
      </c>
      <c r="AL97" s="164"/>
      <c r="AM97" s="165"/>
      <c r="AN97" s="165"/>
      <c r="AO97" s="165"/>
      <c r="AP97" s="165"/>
      <c r="AQ97" s="165"/>
      <c r="AR97" s="164"/>
      <c r="AS97" s="168">
        <v>30</v>
      </c>
      <c r="AT97" s="59"/>
      <c r="AU97" s="168">
        <v>30</v>
      </c>
      <c r="AV97" s="164"/>
      <c r="AW97" s="165"/>
      <c r="AX97" s="165"/>
      <c r="AY97" s="165"/>
      <c r="AZ97" s="165"/>
      <c r="BA97" s="165"/>
      <c r="BB97" s="166"/>
      <c r="BC97" s="169">
        <v>30</v>
      </c>
      <c r="BD97" s="60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98"/>
      <c r="AD98" s="98"/>
      <c r="AE98" s="98"/>
      <c r="AF98" s="98"/>
      <c r="AG98" s="98"/>
      <c r="AH98" s="2"/>
      <c r="AI98" s="2"/>
      <c r="AJ98" s="58"/>
      <c r="AK98" s="167">
        <v>31</v>
      </c>
      <c r="AL98" s="164"/>
      <c r="AM98" s="165"/>
      <c r="AN98" s="165"/>
      <c r="AO98" s="165"/>
      <c r="AP98" s="165"/>
      <c r="AQ98" s="165"/>
      <c r="AR98" s="164"/>
      <c r="AS98" s="168">
        <v>31</v>
      </c>
      <c r="AT98" s="59"/>
      <c r="AU98" s="168">
        <v>31</v>
      </c>
      <c r="AV98" s="164"/>
      <c r="AW98" s="165"/>
      <c r="AX98" s="165"/>
      <c r="AY98" s="165"/>
      <c r="AZ98" s="165"/>
      <c r="BA98" s="165"/>
      <c r="BB98" s="166"/>
      <c r="BC98" s="169">
        <v>31</v>
      </c>
      <c r="BD98" s="60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98"/>
      <c r="AD99" s="98"/>
      <c r="AE99" s="98"/>
      <c r="AF99" s="98"/>
      <c r="AG99" s="98"/>
      <c r="AH99" s="2"/>
      <c r="AI99" s="2"/>
      <c r="AJ99" s="58"/>
      <c r="AK99" s="167">
        <v>32</v>
      </c>
      <c r="AL99" s="164"/>
      <c r="AM99" s="165"/>
      <c r="AN99" s="165"/>
      <c r="AO99" s="165"/>
      <c r="AP99" s="165"/>
      <c r="AQ99" s="165"/>
      <c r="AR99" s="164"/>
      <c r="AS99" s="168">
        <v>32</v>
      </c>
      <c r="AT99" s="59"/>
      <c r="AU99" s="168">
        <v>32</v>
      </c>
      <c r="AV99" s="164"/>
      <c r="AW99" s="165"/>
      <c r="AX99" s="165"/>
      <c r="AY99" s="165"/>
      <c r="AZ99" s="165"/>
      <c r="BA99" s="165"/>
      <c r="BB99" s="166"/>
      <c r="BC99" s="169">
        <v>32</v>
      </c>
      <c r="BD99" s="60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48"/>
      <c r="AK100" s="149">
        <v>33</v>
      </c>
      <c r="AL100" s="150"/>
      <c r="AM100" s="151"/>
      <c r="AN100" s="150"/>
      <c r="AO100" s="151"/>
      <c r="AP100" s="150"/>
      <c r="AQ100" s="151"/>
      <c r="AR100" s="150"/>
      <c r="AS100" s="152">
        <v>33</v>
      </c>
      <c r="AT100" s="153"/>
      <c r="AU100" s="152">
        <v>33</v>
      </c>
      <c r="AV100" s="150"/>
      <c r="AW100" s="151"/>
      <c r="AX100" s="150"/>
      <c r="AY100" s="151"/>
      <c r="AZ100" s="150"/>
      <c r="BA100" s="151"/>
      <c r="BB100" s="153"/>
      <c r="BC100" s="154">
        <v>33</v>
      </c>
      <c r="BD100" s="155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48"/>
      <c r="AK101" s="149">
        <v>34</v>
      </c>
      <c r="AL101" s="150"/>
      <c r="AM101" s="150"/>
      <c r="AN101" s="150"/>
      <c r="AO101" s="150"/>
      <c r="AP101" s="150"/>
      <c r="AQ101" s="150"/>
      <c r="AR101" s="150"/>
      <c r="AS101" s="152">
        <v>34</v>
      </c>
      <c r="AT101" s="153"/>
      <c r="AU101" s="152">
        <v>34</v>
      </c>
      <c r="AV101" s="150"/>
      <c r="AW101" s="150"/>
      <c r="AX101" s="150"/>
      <c r="AY101" s="150"/>
      <c r="AZ101" s="150"/>
      <c r="BA101" s="150"/>
      <c r="BB101" s="153"/>
      <c r="BC101" s="154">
        <v>34</v>
      </c>
      <c r="BD101" s="155"/>
      <c r="BE101" s="2"/>
      <c r="BF101" s="2"/>
      <c r="BG101" s="126"/>
      <c r="BH101" s="126"/>
      <c r="BI101" s="126"/>
      <c r="BJ101" s="126"/>
      <c r="BK101" s="126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48"/>
      <c r="AK102" s="149">
        <v>35</v>
      </c>
      <c r="AL102" s="150"/>
      <c r="AM102" s="150"/>
      <c r="AN102" s="150"/>
      <c r="AO102" s="150"/>
      <c r="AP102" s="150"/>
      <c r="AQ102" s="150"/>
      <c r="AR102" s="150"/>
      <c r="AS102" s="152">
        <v>35</v>
      </c>
      <c r="AT102" s="153"/>
      <c r="AU102" s="152">
        <v>35</v>
      </c>
      <c r="AV102" s="150"/>
      <c r="AW102" s="150"/>
      <c r="AX102" s="150"/>
      <c r="AY102" s="150"/>
      <c r="AZ102" s="150"/>
      <c r="BA102" s="150"/>
      <c r="BB102" s="153"/>
      <c r="BC102" s="154">
        <v>35</v>
      </c>
      <c r="BD102" s="155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48"/>
      <c r="AK103" s="149">
        <v>36</v>
      </c>
      <c r="AL103" s="150"/>
      <c r="AM103" s="150"/>
      <c r="AN103" s="150"/>
      <c r="AO103" s="150"/>
      <c r="AP103" s="150"/>
      <c r="AQ103" s="150"/>
      <c r="AR103" s="150"/>
      <c r="AS103" s="152">
        <v>36</v>
      </c>
      <c r="AT103" s="153"/>
      <c r="AU103" s="152">
        <v>36</v>
      </c>
      <c r="AV103" s="150"/>
      <c r="AW103" s="150"/>
      <c r="AX103" s="150"/>
      <c r="AY103" s="150"/>
      <c r="AZ103" s="150"/>
      <c r="BA103" s="150"/>
      <c r="BB103" s="153"/>
      <c r="BC103" s="154">
        <v>36</v>
      </c>
      <c r="BD103" s="155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48"/>
      <c r="AK104" s="149">
        <v>37</v>
      </c>
      <c r="AL104" s="150"/>
      <c r="AM104" s="150"/>
      <c r="AN104" s="150"/>
      <c r="AO104" s="150"/>
      <c r="AP104" s="150"/>
      <c r="AQ104" s="150"/>
      <c r="AR104" s="150"/>
      <c r="AS104" s="152">
        <v>37</v>
      </c>
      <c r="AT104" s="153"/>
      <c r="AU104" s="152">
        <v>37</v>
      </c>
      <c r="AV104" s="150"/>
      <c r="AW104" s="150"/>
      <c r="AX104" s="150"/>
      <c r="AY104" s="150"/>
      <c r="AZ104" s="150"/>
      <c r="BA104" s="150"/>
      <c r="BB104" s="153"/>
      <c r="BC104" s="154">
        <v>37</v>
      </c>
      <c r="BD104" s="155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48"/>
      <c r="AK105" s="149">
        <v>38</v>
      </c>
      <c r="AL105" s="150"/>
      <c r="AM105" s="151"/>
      <c r="AN105" s="150"/>
      <c r="AO105" s="151"/>
      <c r="AP105" s="150"/>
      <c r="AQ105" s="151"/>
      <c r="AR105" s="150"/>
      <c r="AS105" s="152">
        <v>38</v>
      </c>
      <c r="AT105" s="153"/>
      <c r="AU105" s="152">
        <v>38</v>
      </c>
      <c r="AV105" s="150"/>
      <c r="AW105" s="151"/>
      <c r="AX105" s="150"/>
      <c r="AY105" s="151"/>
      <c r="AZ105" s="150"/>
      <c r="BA105" s="151"/>
      <c r="BB105" s="153"/>
      <c r="BC105" s="154">
        <v>38</v>
      </c>
      <c r="BD105" s="155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48"/>
      <c r="AK106" s="149">
        <v>39</v>
      </c>
      <c r="AL106" s="150"/>
      <c r="AM106" s="150"/>
      <c r="AN106" s="150"/>
      <c r="AO106" s="150"/>
      <c r="AP106" s="150"/>
      <c r="AQ106" s="150"/>
      <c r="AR106" s="150"/>
      <c r="AS106" s="152">
        <v>39</v>
      </c>
      <c r="AT106" s="153"/>
      <c r="AU106" s="152">
        <v>39</v>
      </c>
      <c r="AV106" s="150"/>
      <c r="AW106" s="150"/>
      <c r="AX106" s="150"/>
      <c r="AY106" s="150"/>
      <c r="AZ106" s="150"/>
      <c r="BA106" s="150"/>
      <c r="BB106" s="153"/>
      <c r="BC106" s="154">
        <v>39</v>
      </c>
      <c r="BD106" s="155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48"/>
      <c r="AK107" s="149">
        <v>40</v>
      </c>
      <c r="AL107" s="150"/>
      <c r="AM107" s="150"/>
      <c r="AN107" s="150"/>
      <c r="AO107" s="150"/>
      <c r="AP107" s="150"/>
      <c r="AQ107" s="150"/>
      <c r="AR107" s="150"/>
      <c r="AS107" s="152">
        <v>40</v>
      </c>
      <c r="AT107" s="153"/>
      <c r="AU107" s="152">
        <v>40</v>
      </c>
      <c r="AV107" s="150"/>
      <c r="AW107" s="150"/>
      <c r="AX107" s="150"/>
      <c r="AY107" s="150"/>
      <c r="AZ107" s="150"/>
      <c r="BA107" s="150"/>
      <c r="BB107" s="153"/>
      <c r="BC107" s="154">
        <v>40</v>
      </c>
      <c r="BD107" s="155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48"/>
      <c r="AK108" s="149">
        <v>41</v>
      </c>
      <c r="AL108" s="150"/>
      <c r="AM108" s="150"/>
      <c r="AN108" s="150"/>
      <c r="AO108" s="150"/>
      <c r="AP108" s="150"/>
      <c r="AQ108" s="150"/>
      <c r="AR108" s="150"/>
      <c r="AS108" s="152">
        <v>41</v>
      </c>
      <c r="AT108" s="153"/>
      <c r="AU108" s="152">
        <v>41</v>
      </c>
      <c r="AV108" s="150"/>
      <c r="AW108" s="150"/>
      <c r="AX108" s="150"/>
      <c r="AY108" s="150"/>
      <c r="AZ108" s="150"/>
      <c r="BA108" s="150"/>
      <c r="BB108" s="153"/>
      <c r="BC108" s="154">
        <v>41</v>
      </c>
      <c r="BD108" s="155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48"/>
      <c r="AK109" s="149">
        <v>42</v>
      </c>
      <c r="AL109" s="150"/>
      <c r="AM109" s="150"/>
      <c r="AN109" s="150"/>
      <c r="AO109" s="150"/>
      <c r="AP109" s="150"/>
      <c r="AQ109" s="150"/>
      <c r="AR109" s="150"/>
      <c r="AS109" s="152">
        <v>42</v>
      </c>
      <c r="AT109" s="153"/>
      <c r="AU109" s="152">
        <v>42</v>
      </c>
      <c r="AV109" s="150"/>
      <c r="AW109" s="150"/>
      <c r="AX109" s="150"/>
      <c r="AY109" s="150"/>
      <c r="AZ109" s="150"/>
      <c r="BA109" s="150"/>
      <c r="BB109" s="153"/>
      <c r="BC109" s="154">
        <v>42</v>
      </c>
      <c r="BD109" s="155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48"/>
      <c r="AK110" s="149">
        <v>43</v>
      </c>
      <c r="AL110" s="150"/>
      <c r="AM110" s="151"/>
      <c r="AN110" s="150"/>
      <c r="AO110" s="151"/>
      <c r="AP110" s="150"/>
      <c r="AQ110" s="151"/>
      <c r="AR110" s="150"/>
      <c r="AS110" s="152">
        <v>43</v>
      </c>
      <c r="AT110" s="153"/>
      <c r="AU110" s="152">
        <v>43</v>
      </c>
      <c r="AV110" s="150"/>
      <c r="AW110" s="151"/>
      <c r="AX110" s="150"/>
      <c r="AY110" s="151"/>
      <c r="AZ110" s="150"/>
      <c r="BA110" s="151"/>
      <c r="BB110" s="153"/>
      <c r="BC110" s="154">
        <v>43</v>
      </c>
      <c r="BD110" s="155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48"/>
      <c r="AK111" s="149">
        <v>44</v>
      </c>
      <c r="AL111" s="150"/>
      <c r="AM111" s="150"/>
      <c r="AN111" s="150"/>
      <c r="AO111" s="150"/>
      <c r="AP111" s="150"/>
      <c r="AQ111" s="150"/>
      <c r="AR111" s="150"/>
      <c r="AS111" s="152">
        <v>44</v>
      </c>
      <c r="AT111" s="153"/>
      <c r="AU111" s="152">
        <v>44</v>
      </c>
      <c r="AV111" s="150"/>
      <c r="AW111" s="150"/>
      <c r="AX111" s="150"/>
      <c r="AY111" s="150"/>
      <c r="AZ111" s="150"/>
      <c r="BA111" s="150"/>
      <c r="BB111" s="153"/>
      <c r="BC111" s="154">
        <v>44</v>
      </c>
      <c r="BD111" s="155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48"/>
      <c r="AK112" s="149">
        <v>45</v>
      </c>
      <c r="AL112" s="150"/>
      <c r="AM112" s="150"/>
      <c r="AN112" s="150"/>
      <c r="AO112" s="150"/>
      <c r="AP112" s="150"/>
      <c r="AQ112" s="150"/>
      <c r="AR112" s="150"/>
      <c r="AS112" s="152">
        <v>45</v>
      </c>
      <c r="AT112" s="153"/>
      <c r="AU112" s="152">
        <v>45</v>
      </c>
      <c r="AV112" s="150"/>
      <c r="AW112" s="150"/>
      <c r="AX112" s="150"/>
      <c r="AY112" s="150"/>
      <c r="AZ112" s="150"/>
      <c r="BA112" s="150"/>
      <c r="BB112" s="153"/>
      <c r="BC112" s="154">
        <v>45</v>
      </c>
      <c r="BD112" s="155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48"/>
      <c r="AK113" s="149">
        <v>46</v>
      </c>
      <c r="AL113" s="150"/>
      <c r="AM113" s="151"/>
      <c r="AN113" s="150"/>
      <c r="AO113" s="151"/>
      <c r="AP113" s="150"/>
      <c r="AQ113" s="151"/>
      <c r="AR113" s="150"/>
      <c r="AS113" s="152">
        <v>46</v>
      </c>
      <c r="AT113" s="153"/>
      <c r="AU113" s="152">
        <v>46</v>
      </c>
      <c r="AV113" s="150"/>
      <c r="AW113" s="151"/>
      <c r="AX113" s="150"/>
      <c r="AY113" s="151"/>
      <c r="AZ113" s="150"/>
      <c r="BA113" s="151"/>
      <c r="BB113" s="153"/>
      <c r="BC113" s="154">
        <v>46</v>
      </c>
      <c r="BD113" s="155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48"/>
      <c r="AK114" s="149">
        <v>47</v>
      </c>
      <c r="AL114" s="150"/>
      <c r="AM114" s="150"/>
      <c r="AN114" s="150"/>
      <c r="AO114" s="150"/>
      <c r="AP114" s="150"/>
      <c r="AQ114" s="150"/>
      <c r="AR114" s="150"/>
      <c r="AS114" s="152">
        <v>47</v>
      </c>
      <c r="AT114" s="153"/>
      <c r="AU114" s="152">
        <v>47</v>
      </c>
      <c r="AV114" s="150"/>
      <c r="AW114" s="150"/>
      <c r="AX114" s="150"/>
      <c r="AY114" s="150"/>
      <c r="AZ114" s="150"/>
      <c r="BA114" s="150"/>
      <c r="BB114" s="153"/>
      <c r="BC114" s="154">
        <v>47</v>
      </c>
      <c r="BD114" s="155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48"/>
      <c r="AK115" s="149">
        <v>48</v>
      </c>
      <c r="AL115" s="150"/>
      <c r="AM115" s="150"/>
      <c r="AN115" s="150"/>
      <c r="AO115" s="150"/>
      <c r="AP115" s="150"/>
      <c r="AQ115" s="150"/>
      <c r="AR115" s="150"/>
      <c r="AS115" s="152">
        <v>48</v>
      </c>
      <c r="AT115" s="153"/>
      <c r="AU115" s="152">
        <v>48</v>
      </c>
      <c r="AV115" s="150"/>
      <c r="AW115" s="150"/>
      <c r="AX115" s="150"/>
      <c r="AY115" s="150"/>
      <c r="AZ115" s="150"/>
      <c r="BA115" s="150"/>
      <c r="BB115" s="153"/>
      <c r="BC115" s="154">
        <v>48</v>
      </c>
      <c r="BD115" s="155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48"/>
      <c r="AK116" s="149">
        <v>49</v>
      </c>
      <c r="AL116" s="150"/>
      <c r="AM116" s="150"/>
      <c r="AN116" s="150"/>
      <c r="AO116" s="150"/>
      <c r="AP116" s="150"/>
      <c r="AQ116" s="150"/>
      <c r="AR116" s="150"/>
      <c r="AS116" s="152">
        <v>49</v>
      </c>
      <c r="AT116" s="153"/>
      <c r="AU116" s="152">
        <v>49</v>
      </c>
      <c r="AV116" s="150"/>
      <c r="AW116" s="150"/>
      <c r="AX116" s="150"/>
      <c r="AY116" s="150"/>
      <c r="AZ116" s="150"/>
      <c r="BA116" s="150"/>
      <c r="BB116" s="153"/>
      <c r="BC116" s="154">
        <v>49</v>
      </c>
      <c r="BD116" s="155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48"/>
      <c r="AK117" s="149">
        <v>50</v>
      </c>
      <c r="AL117" s="150"/>
      <c r="AM117" s="150"/>
      <c r="AN117" s="150"/>
      <c r="AO117" s="150"/>
      <c r="AP117" s="150"/>
      <c r="AQ117" s="150"/>
      <c r="AR117" s="150"/>
      <c r="AS117" s="152">
        <v>50</v>
      </c>
      <c r="AT117" s="153"/>
      <c r="AU117" s="152">
        <v>50</v>
      </c>
      <c r="AV117" s="150"/>
      <c r="AW117" s="150"/>
      <c r="AX117" s="150"/>
      <c r="AY117" s="150"/>
      <c r="AZ117" s="150"/>
      <c r="BA117" s="150"/>
      <c r="BB117" s="153"/>
      <c r="BC117" s="154">
        <v>50</v>
      </c>
      <c r="BD117" s="155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56"/>
      <c r="AK118" s="148"/>
      <c r="AL118" s="150"/>
      <c r="AM118" s="157"/>
      <c r="AN118" s="157"/>
      <c r="AO118" s="157">
        <f>AVERAGE((AO170:AO213))</f>
        <v>81.047500000000014</v>
      </c>
      <c r="AP118" s="150"/>
      <c r="AQ118" s="151"/>
      <c r="AR118" s="150"/>
      <c r="AS118" s="153"/>
      <c r="AT118" s="156"/>
      <c r="AU118" s="153"/>
      <c r="AV118" s="150"/>
      <c r="AW118" s="151"/>
      <c r="AX118" s="150"/>
      <c r="AY118" s="158">
        <f>IF(BD170&lt;&gt;"",AVERAGE((AY170:AY213)),"")</f>
        <v>82.083333333333329</v>
      </c>
      <c r="AZ118" s="150"/>
      <c r="BA118" s="151"/>
      <c r="BB118" s="153"/>
      <c r="BC118" s="155"/>
      <c r="BD118" s="156"/>
    </row>
    <row r="119" spans="28:64" hidden="1" x14ac:dyDescent="0.25">
      <c r="AJ119" s="152" t="s">
        <v>199</v>
      </c>
      <c r="AK119" s="159"/>
      <c r="AL119" s="160"/>
      <c r="AM119" s="160"/>
      <c r="AN119" s="160"/>
      <c r="AO119" s="160"/>
      <c r="AP119" s="160"/>
      <c r="AQ119" s="160"/>
      <c r="AR119" s="160"/>
      <c r="AS119" s="161"/>
      <c r="AT119" s="152"/>
      <c r="AU119" s="161"/>
      <c r="AV119" s="160"/>
      <c r="AW119" s="160"/>
      <c r="AX119" s="160"/>
      <c r="AY119" s="160"/>
      <c r="AZ119" s="160"/>
      <c r="BA119" s="160"/>
      <c r="BB119" s="161"/>
      <c r="BC119" s="162"/>
      <c r="BD119" s="152"/>
    </row>
    <row r="120" spans="28:64" hidden="1" x14ac:dyDescent="0.25">
      <c r="AJ120" s="152"/>
      <c r="AK120" s="159"/>
      <c r="AL120" s="160"/>
      <c r="AM120" s="160"/>
      <c r="AN120" s="160"/>
      <c r="AO120" s="160"/>
      <c r="AP120" s="160"/>
      <c r="AQ120" s="160"/>
      <c r="AR120" s="160"/>
      <c r="AS120" s="161"/>
      <c r="AT120" s="152"/>
      <c r="AU120" s="161"/>
      <c r="AV120" s="160"/>
      <c r="AW120" s="160"/>
      <c r="AX120" s="160"/>
      <c r="AY120" s="160"/>
      <c r="AZ120" s="160"/>
      <c r="BA120" s="160"/>
      <c r="BB120" s="161"/>
      <c r="BC120" s="162"/>
      <c r="BD120" s="152"/>
    </row>
    <row r="121" spans="28:64" hidden="1" x14ac:dyDescent="0.25">
      <c r="AJ121" s="152"/>
      <c r="AK121" s="159"/>
      <c r="AL121" s="160"/>
      <c r="AM121" s="163"/>
      <c r="AN121" s="160"/>
      <c r="AO121" s="163"/>
      <c r="AP121" s="160"/>
      <c r="AQ121" s="163"/>
      <c r="AR121" s="160"/>
      <c r="AS121" s="161"/>
      <c r="AT121" s="152"/>
      <c r="AU121" s="161"/>
      <c r="AV121" s="160"/>
      <c r="AW121" s="163"/>
      <c r="AX121" s="160"/>
      <c r="AY121" s="163"/>
      <c r="AZ121" s="160"/>
      <c r="BA121" s="163"/>
      <c r="BB121" s="161"/>
      <c r="BC121" s="162"/>
      <c r="BD121" s="152"/>
    </row>
    <row r="122" spans="28:64" hidden="1" x14ac:dyDescent="0.25">
      <c r="AJ122" s="152"/>
      <c r="AK122" s="159"/>
      <c r="AL122" s="160"/>
      <c r="AM122" s="160"/>
      <c r="AN122" s="160"/>
      <c r="AO122" s="160"/>
      <c r="AP122" s="160"/>
      <c r="AQ122" s="160"/>
      <c r="AR122" s="160"/>
      <c r="AS122" s="161"/>
      <c r="AT122" s="152"/>
      <c r="AU122" s="161"/>
      <c r="AV122" s="160"/>
      <c r="AW122" s="160"/>
      <c r="AX122" s="160"/>
      <c r="AY122" s="160"/>
      <c r="AZ122" s="160"/>
      <c r="BA122" s="160"/>
      <c r="BB122" s="161"/>
      <c r="BC122" s="162"/>
      <c r="BD122" s="152"/>
    </row>
    <row r="123" spans="28:64" hidden="1" x14ac:dyDescent="0.25">
      <c r="AJ123" s="152"/>
      <c r="AK123" s="159"/>
      <c r="AL123" s="160"/>
      <c r="AM123" s="160"/>
      <c r="AN123" s="160"/>
      <c r="AO123" s="160"/>
      <c r="AP123" s="160"/>
      <c r="AQ123" s="160"/>
      <c r="AR123" s="160"/>
      <c r="AS123" s="161"/>
      <c r="AT123" s="152"/>
      <c r="AU123" s="161"/>
      <c r="AV123" s="160"/>
      <c r="AW123" s="160"/>
      <c r="AX123" s="160"/>
      <c r="AY123" s="160"/>
      <c r="AZ123" s="160"/>
      <c r="BA123" s="160"/>
      <c r="BB123" s="161"/>
      <c r="BC123" s="162"/>
      <c r="BD123" s="152"/>
    </row>
    <row r="124" spans="28:64" hidden="1" x14ac:dyDescent="0.25">
      <c r="AJ124" s="152"/>
      <c r="AK124" s="159"/>
      <c r="AL124" s="160"/>
      <c r="AM124" s="160"/>
      <c r="AN124" s="160"/>
      <c r="AO124" s="160"/>
      <c r="AP124" s="160"/>
      <c r="AQ124" s="160"/>
      <c r="AR124" s="160"/>
      <c r="AS124" s="161"/>
      <c r="AT124" s="152"/>
      <c r="AU124" s="161"/>
      <c r="AV124" s="160"/>
      <c r="AW124" s="160"/>
      <c r="AX124" s="160"/>
      <c r="AY124" s="160"/>
      <c r="AZ124" s="160"/>
      <c r="BA124" s="160"/>
      <c r="BB124" s="161"/>
      <c r="BC124" s="162"/>
      <c r="BD124" s="152"/>
    </row>
    <row r="125" spans="28:64" hidden="1" x14ac:dyDescent="0.25">
      <c r="AJ125" s="152"/>
      <c r="AK125" s="159"/>
      <c r="AL125" s="160"/>
      <c r="AM125" s="160"/>
      <c r="AN125" s="160"/>
      <c r="AO125" s="160"/>
      <c r="AP125" s="160"/>
      <c r="AQ125" s="160"/>
      <c r="AR125" s="160"/>
      <c r="AS125" s="161"/>
      <c r="AT125" s="152"/>
      <c r="AU125" s="161"/>
      <c r="AV125" s="160"/>
      <c r="AW125" s="160"/>
      <c r="AX125" s="160"/>
      <c r="AY125" s="160"/>
      <c r="AZ125" s="160"/>
      <c r="BA125" s="160"/>
      <c r="BB125" s="161"/>
      <c r="BC125" s="162"/>
      <c r="BD125" s="152"/>
    </row>
    <row r="126" spans="28:64" hidden="1" x14ac:dyDescent="0.25">
      <c r="AJ126" s="152"/>
      <c r="AK126" s="159"/>
      <c r="AL126" s="160"/>
      <c r="AM126" s="163"/>
      <c r="AN126" s="160"/>
      <c r="AO126" s="163"/>
      <c r="AP126" s="160"/>
      <c r="AQ126" s="163"/>
      <c r="AR126" s="160"/>
      <c r="AS126" s="161"/>
      <c r="AT126" s="152"/>
      <c r="AU126" s="161"/>
      <c r="AV126" s="160"/>
      <c r="AW126" s="163"/>
      <c r="AX126" s="160"/>
      <c r="AY126" s="163"/>
      <c r="AZ126" s="160"/>
      <c r="BA126" s="163"/>
      <c r="BB126" s="161"/>
      <c r="BC126" s="162"/>
      <c r="BD126" s="152"/>
    </row>
    <row r="127" spans="28:64" hidden="1" x14ac:dyDescent="0.25">
      <c r="AJ127" s="152"/>
      <c r="AK127" s="159"/>
      <c r="AL127" s="160"/>
      <c r="AM127" s="160"/>
      <c r="AN127" s="160"/>
      <c r="AO127" s="160"/>
      <c r="AP127" s="160"/>
      <c r="AQ127" s="160"/>
      <c r="AR127" s="160"/>
      <c r="AS127" s="161"/>
      <c r="AT127" s="152"/>
      <c r="AU127" s="161"/>
      <c r="AV127" s="160"/>
      <c r="AW127" s="160"/>
      <c r="AX127" s="160"/>
      <c r="AY127" s="160"/>
      <c r="AZ127" s="160"/>
      <c r="BA127" s="160"/>
      <c r="BB127" s="161"/>
      <c r="BC127" s="162"/>
      <c r="BD127" s="152"/>
    </row>
    <row r="128" spans="28:64" hidden="1" x14ac:dyDescent="0.25">
      <c r="AJ128" s="152"/>
      <c r="AK128" s="159"/>
      <c r="AL128" s="160"/>
      <c r="AM128" s="160"/>
      <c r="AN128" s="160"/>
      <c r="AO128" s="160"/>
      <c r="AP128" s="160"/>
      <c r="AQ128" s="160"/>
      <c r="AR128" s="160"/>
      <c r="AS128" s="161"/>
      <c r="AT128" s="152"/>
      <c r="AU128" s="161"/>
      <c r="AV128" s="160"/>
      <c r="AW128" s="160"/>
      <c r="AX128" s="160"/>
      <c r="AY128" s="160"/>
      <c r="AZ128" s="160"/>
      <c r="BA128" s="160"/>
      <c r="BB128" s="161"/>
      <c r="BC128" s="162"/>
      <c r="BD128" s="152"/>
    </row>
    <row r="129" spans="36:56" hidden="1" x14ac:dyDescent="0.25">
      <c r="AJ129" s="152"/>
      <c r="AK129" s="159"/>
      <c r="AL129" s="160"/>
      <c r="AM129" s="163"/>
      <c r="AN129" s="160"/>
      <c r="AO129" s="163"/>
      <c r="AP129" s="160"/>
      <c r="AQ129" s="163"/>
      <c r="AR129" s="160"/>
      <c r="AS129" s="161"/>
      <c r="AT129" s="152"/>
      <c r="AU129" s="161"/>
      <c r="AV129" s="160"/>
      <c r="AW129" s="163"/>
      <c r="AX129" s="160"/>
      <c r="AY129" s="163"/>
      <c r="AZ129" s="160"/>
      <c r="BA129" s="163"/>
      <c r="BB129" s="161"/>
      <c r="BC129" s="162"/>
      <c r="BD129" s="152"/>
    </row>
    <row r="130" spans="36:56" hidden="1" x14ac:dyDescent="0.25">
      <c r="AJ130" s="152"/>
      <c r="AK130" s="159"/>
      <c r="AL130" s="160"/>
      <c r="AM130" s="160"/>
      <c r="AN130" s="160"/>
      <c r="AO130" s="160"/>
      <c r="AP130" s="160"/>
      <c r="AQ130" s="160"/>
      <c r="AR130" s="160"/>
      <c r="AS130" s="161"/>
      <c r="AT130" s="152"/>
      <c r="AU130" s="161"/>
      <c r="AV130" s="160"/>
      <c r="AW130" s="160"/>
      <c r="AX130" s="160"/>
      <c r="AY130" s="160"/>
      <c r="AZ130" s="160"/>
      <c r="BA130" s="160"/>
      <c r="BB130" s="161"/>
      <c r="BC130" s="162"/>
      <c r="BD130" s="152"/>
    </row>
    <row r="131" spans="36:56" hidden="1" x14ac:dyDescent="0.25">
      <c r="AJ131" s="152"/>
      <c r="AK131" s="159"/>
      <c r="AL131" s="160"/>
      <c r="AM131" s="160"/>
      <c r="AN131" s="160"/>
      <c r="AO131" s="160"/>
      <c r="AP131" s="160"/>
      <c r="AQ131" s="160"/>
      <c r="AR131" s="160"/>
      <c r="AS131" s="161"/>
      <c r="AT131" s="152"/>
      <c r="AU131" s="161"/>
      <c r="AV131" s="160"/>
      <c r="AW131" s="160"/>
      <c r="AX131" s="160"/>
      <c r="AY131" s="160"/>
      <c r="AZ131" s="160"/>
      <c r="BA131" s="160"/>
      <c r="BB131" s="161"/>
      <c r="BC131" s="162"/>
      <c r="BD131" s="152"/>
    </row>
    <row r="132" spans="36:56" hidden="1" x14ac:dyDescent="0.25">
      <c r="AJ132" s="152"/>
      <c r="AK132" s="159"/>
      <c r="AL132" s="160"/>
      <c r="AM132" s="160"/>
      <c r="AN132" s="160"/>
      <c r="AO132" s="160"/>
      <c r="AP132" s="160"/>
      <c r="AQ132" s="160"/>
      <c r="AR132" s="160"/>
      <c r="AS132" s="161"/>
      <c r="AT132" s="152"/>
      <c r="AU132" s="161"/>
      <c r="AV132" s="160"/>
      <c r="AW132" s="160"/>
      <c r="AX132" s="160"/>
      <c r="AY132" s="160"/>
      <c r="AZ132" s="160"/>
      <c r="BA132" s="160"/>
      <c r="BB132" s="161"/>
      <c r="BC132" s="162"/>
      <c r="BD132" s="152"/>
    </row>
    <row r="133" spans="36:56" hidden="1" x14ac:dyDescent="0.25">
      <c r="AJ133" s="152"/>
      <c r="AK133" s="159"/>
      <c r="AL133" s="160"/>
      <c r="AM133" s="160"/>
      <c r="AN133" s="160"/>
      <c r="AO133" s="160"/>
      <c r="AP133" s="160"/>
      <c r="AQ133" s="160"/>
      <c r="AR133" s="160"/>
      <c r="AS133" s="161"/>
      <c r="AT133" s="152"/>
      <c r="AU133" s="161"/>
      <c r="AV133" s="160"/>
      <c r="AW133" s="160"/>
      <c r="AX133" s="160"/>
      <c r="AY133" s="160"/>
      <c r="AZ133" s="160"/>
      <c r="BA133" s="160"/>
      <c r="BB133" s="161"/>
      <c r="BC133" s="162"/>
      <c r="BD133" s="152"/>
    </row>
    <row r="134" spans="36:56" hidden="1" x14ac:dyDescent="0.25">
      <c r="AJ134" s="152" t="s">
        <v>200</v>
      </c>
      <c r="AK134" s="159"/>
      <c r="AL134" s="160"/>
      <c r="AM134" s="163"/>
      <c r="AN134" s="160"/>
      <c r="AO134" s="163"/>
      <c r="AP134" s="160"/>
      <c r="AQ134" s="163"/>
      <c r="AR134" s="160"/>
      <c r="AS134" s="161"/>
      <c r="AT134" s="152"/>
      <c r="AU134" s="161"/>
      <c r="AV134" s="160"/>
      <c r="AW134" s="163"/>
      <c r="AX134" s="160"/>
      <c r="AY134" s="163"/>
      <c r="AZ134" s="160"/>
      <c r="BA134" s="163"/>
      <c r="BB134" s="161"/>
      <c r="BC134" s="162"/>
      <c r="BD134" s="152"/>
    </row>
    <row r="135" spans="36:56" hidden="1" x14ac:dyDescent="0.25">
      <c r="AJ135" s="152" t="s">
        <v>200</v>
      </c>
      <c r="AK135" s="159"/>
      <c r="AL135" s="160"/>
      <c r="AM135" s="160"/>
      <c r="AN135" s="160"/>
      <c r="AO135" s="160"/>
      <c r="AP135" s="160"/>
      <c r="AQ135" s="160"/>
      <c r="AR135" s="160"/>
      <c r="AS135" s="161"/>
      <c r="AT135" s="152"/>
      <c r="AU135" s="161"/>
      <c r="AV135" s="160"/>
      <c r="AW135" s="160"/>
      <c r="AX135" s="160"/>
      <c r="AY135" s="160"/>
      <c r="AZ135" s="160"/>
      <c r="BA135" s="160"/>
      <c r="BB135" s="161"/>
      <c r="BC135" s="162"/>
      <c r="BD135" s="152"/>
    </row>
    <row r="136" spans="36:56" hidden="1" x14ac:dyDescent="0.25">
      <c r="AJ136" s="152"/>
      <c r="AK136" s="159"/>
      <c r="AL136" s="160"/>
      <c r="AM136" s="160"/>
      <c r="AN136" s="160"/>
      <c r="AO136" s="160"/>
      <c r="AP136" s="160"/>
      <c r="AQ136" s="160"/>
      <c r="AR136" s="160"/>
      <c r="AS136" s="161"/>
      <c r="AT136" s="152"/>
      <c r="AU136" s="161"/>
      <c r="AV136" s="160"/>
      <c r="AW136" s="160"/>
      <c r="AX136" s="160"/>
      <c r="AY136" s="160"/>
      <c r="AZ136" s="160"/>
      <c r="BA136" s="160"/>
      <c r="BB136" s="161"/>
      <c r="BC136" s="162"/>
      <c r="BD136" s="152"/>
    </row>
    <row r="137" spans="36:56" hidden="1" x14ac:dyDescent="0.25">
      <c r="AJ137" s="152"/>
      <c r="AK137" s="159"/>
      <c r="AL137" s="160"/>
      <c r="AM137" s="163"/>
      <c r="AN137" s="160"/>
      <c r="AO137" s="163"/>
      <c r="AP137" s="160"/>
      <c r="AQ137" s="163"/>
      <c r="AR137" s="160"/>
      <c r="AS137" s="161"/>
      <c r="AT137" s="152"/>
      <c r="AU137" s="161"/>
      <c r="AV137" s="160"/>
      <c r="AW137" s="163"/>
      <c r="AX137" s="160"/>
      <c r="AY137" s="163"/>
      <c r="AZ137" s="160"/>
      <c r="BA137" s="163"/>
      <c r="BB137" s="161"/>
      <c r="BC137" s="162"/>
      <c r="BD137" s="152"/>
    </row>
    <row r="138" spans="36:56" hidden="1" x14ac:dyDescent="0.25">
      <c r="AJ138" s="152"/>
      <c r="AK138" s="159"/>
      <c r="AL138" s="160"/>
      <c r="AM138" s="160"/>
      <c r="AN138" s="160"/>
      <c r="AO138" s="160"/>
      <c r="AP138" s="160"/>
      <c r="AQ138" s="160"/>
      <c r="AR138" s="160"/>
      <c r="AS138" s="161"/>
      <c r="AT138" s="152"/>
      <c r="AU138" s="161"/>
      <c r="AV138" s="160"/>
      <c r="AW138" s="160"/>
      <c r="AX138" s="160"/>
      <c r="AY138" s="160"/>
      <c r="AZ138" s="160"/>
      <c r="BA138" s="160"/>
      <c r="BB138" s="161"/>
      <c r="BC138" s="162"/>
      <c r="BD138" s="152"/>
    </row>
    <row r="139" spans="36:56" hidden="1" x14ac:dyDescent="0.25">
      <c r="AJ139" s="152"/>
      <c r="AK139" s="159"/>
      <c r="AL139" s="160"/>
      <c r="AM139" s="160"/>
      <c r="AN139" s="160"/>
      <c r="AO139" s="160"/>
      <c r="AP139" s="160"/>
      <c r="AQ139" s="160"/>
      <c r="AR139" s="160"/>
      <c r="AS139" s="161"/>
      <c r="AT139" s="152"/>
      <c r="AU139" s="161"/>
      <c r="AV139" s="160"/>
      <c r="AW139" s="160"/>
      <c r="AX139" s="160"/>
      <c r="AY139" s="160"/>
      <c r="AZ139" s="160"/>
      <c r="BA139" s="160"/>
      <c r="BB139" s="161"/>
      <c r="BC139" s="162"/>
      <c r="BD139" s="152"/>
    </row>
    <row r="140" spans="36:56" hidden="1" x14ac:dyDescent="0.25">
      <c r="AJ140" s="152"/>
      <c r="AK140" s="159"/>
      <c r="AL140" s="160"/>
      <c r="AM140" s="160"/>
      <c r="AN140" s="160"/>
      <c r="AO140" s="160"/>
      <c r="AP140" s="160"/>
      <c r="AQ140" s="160"/>
      <c r="AR140" s="160"/>
      <c r="AS140" s="161"/>
      <c r="AT140" s="152"/>
      <c r="AU140" s="161"/>
      <c r="AV140" s="160"/>
      <c r="AW140" s="160"/>
      <c r="AX140" s="160"/>
      <c r="AY140" s="160"/>
      <c r="AZ140" s="160"/>
      <c r="BA140" s="160"/>
      <c r="BB140" s="161"/>
      <c r="BC140" s="162"/>
      <c r="BD140" s="152"/>
    </row>
    <row r="141" spans="36:56" hidden="1" x14ac:dyDescent="0.25">
      <c r="AJ141" s="152"/>
      <c r="AK141" s="159"/>
      <c r="AL141" s="160"/>
      <c r="AM141" s="160"/>
      <c r="AN141" s="160"/>
      <c r="AO141" s="160"/>
      <c r="AP141" s="160"/>
      <c r="AQ141" s="160"/>
      <c r="AR141" s="160"/>
      <c r="AS141" s="161"/>
      <c r="AT141" s="152"/>
      <c r="AU141" s="161"/>
      <c r="AV141" s="160"/>
      <c r="AW141" s="160"/>
      <c r="AX141" s="160"/>
      <c r="AY141" s="160"/>
      <c r="AZ141" s="160"/>
      <c r="BA141" s="160"/>
      <c r="BB141" s="161"/>
      <c r="BC141" s="162"/>
      <c r="BD141" s="152"/>
    </row>
    <row r="142" spans="36:56" hidden="1" x14ac:dyDescent="0.25">
      <c r="AJ142" s="152"/>
      <c r="AK142" s="159"/>
      <c r="AL142" s="160"/>
      <c r="AM142" s="163"/>
      <c r="AN142" s="160"/>
      <c r="AO142" s="163"/>
      <c r="AP142" s="160"/>
      <c r="AQ142" s="163"/>
      <c r="AR142" s="160"/>
      <c r="AS142" s="161"/>
      <c r="AT142" s="152"/>
      <c r="AU142" s="161"/>
      <c r="AV142" s="160"/>
      <c r="AW142" s="163"/>
      <c r="AX142" s="160"/>
      <c r="AY142" s="163"/>
      <c r="AZ142" s="160"/>
      <c r="BA142" s="163"/>
      <c r="BB142" s="161"/>
      <c r="BC142" s="162"/>
      <c r="BD142" s="152"/>
    </row>
    <row r="143" spans="36:56" hidden="1" x14ac:dyDescent="0.25">
      <c r="AJ143" s="152"/>
      <c r="AK143" s="159"/>
      <c r="AL143" s="160"/>
      <c r="AM143" s="160"/>
      <c r="AN143" s="160"/>
      <c r="AO143" s="160"/>
      <c r="AP143" s="160"/>
      <c r="AQ143" s="160"/>
      <c r="AR143" s="160"/>
      <c r="AS143" s="161"/>
      <c r="AT143" s="152"/>
      <c r="AU143" s="161"/>
      <c r="AV143" s="160"/>
      <c r="AW143" s="160"/>
      <c r="AX143" s="160"/>
      <c r="AY143" s="160"/>
      <c r="AZ143" s="160"/>
      <c r="BA143" s="160"/>
      <c r="BB143" s="161"/>
      <c r="BC143" s="162"/>
      <c r="BD143" s="152"/>
    </row>
    <row r="144" spans="36:56" hidden="1" x14ac:dyDescent="0.25">
      <c r="AJ144" s="156"/>
      <c r="AK144" s="148"/>
      <c r="AL144" s="150"/>
      <c r="AM144" s="150"/>
      <c r="AN144" s="150"/>
      <c r="AO144" s="150"/>
      <c r="AP144" s="150"/>
      <c r="AQ144" s="150"/>
      <c r="AR144" s="150"/>
      <c r="AS144" s="153"/>
      <c r="AT144" s="156"/>
      <c r="AU144" s="153"/>
      <c r="AV144" s="150"/>
      <c r="AW144" s="150"/>
      <c r="AX144" s="150"/>
      <c r="AY144" s="150"/>
      <c r="AZ144" s="150"/>
      <c r="BA144" s="150"/>
      <c r="BB144" s="153"/>
      <c r="BC144" s="155"/>
      <c r="BD144" s="156"/>
    </row>
    <row r="145" spans="36:56" hidden="1" x14ac:dyDescent="0.25">
      <c r="AJ145" s="156"/>
      <c r="AK145" s="148"/>
      <c r="AL145" s="150"/>
      <c r="AM145" s="151"/>
      <c r="AN145" s="150"/>
      <c r="AO145" s="151"/>
      <c r="AP145" s="150"/>
      <c r="AQ145" s="151"/>
      <c r="AR145" s="150"/>
      <c r="AS145" s="153"/>
      <c r="AT145" s="156"/>
      <c r="AU145" s="153"/>
      <c r="AV145" s="150"/>
      <c r="AW145" s="151"/>
      <c r="AX145" s="150"/>
      <c r="AY145" s="151"/>
      <c r="AZ145" s="150"/>
      <c r="BA145" s="151"/>
      <c r="BB145" s="153"/>
      <c r="BC145" s="155"/>
      <c r="BD145" s="156"/>
    </row>
    <row r="146" spans="36:56" hidden="1" x14ac:dyDescent="0.25">
      <c r="AJ146" s="156"/>
      <c r="AK146" s="148"/>
      <c r="AL146" s="150"/>
      <c r="AM146" s="150"/>
      <c r="AN146" s="150"/>
      <c r="AO146" s="150"/>
      <c r="AP146" s="150"/>
      <c r="AQ146" s="150"/>
      <c r="AR146" s="150"/>
      <c r="AS146" s="153"/>
      <c r="AT146" s="156"/>
      <c r="AU146" s="153"/>
      <c r="AV146" s="150"/>
      <c r="AW146" s="150"/>
      <c r="AX146" s="150"/>
      <c r="AY146" s="150"/>
      <c r="AZ146" s="150"/>
      <c r="BA146" s="150"/>
      <c r="BB146" s="153"/>
      <c r="BC146" s="155"/>
      <c r="BD146" s="156"/>
    </row>
    <row r="147" spans="36:56" hidden="1" x14ac:dyDescent="0.25">
      <c r="AJ147" s="156"/>
      <c r="AK147" s="148"/>
      <c r="AL147" s="150"/>
      <c r="AM147" s="150"/>
      <c r="AN147" s="150"/>
      <c r="AO147" s="150"/>
      <c r="AP147" s="150"/>
      <c r="AQ147" s="150"/>
      <c r="AR147" s="150"/>
      <c r="AS147" s="153"/>
      <c r="AT147" s="156"/>
      <c r="AU147" s="153"/>
      <c r="AV147" s="150"/>
      <c r="AW147" s="150"/>
      <c r="AX147" s="150"/>
      <c r="AY147" s="150"/>
      <c r="AZ147" s="150"/>
      <c r="BA147" s="150"/>
      <c r="BB147" s="153"/>
      <c r="BC147" s="155"/>
      <c r="BD147" s="156"/>
    </row>
    <row r="148" spans="36:56" hidden="1" x14ac:dyDescent="0.25">
      <c r="AJ148" s="156"/>
      <c r="AK148" s="148"/>
      <c r="AL148" s="150"/>
      <c r="AM148" s="150"/>
      <c r="AN148" s="150"/>
      <c r="AO148" s="150"/>
      <c r="AP148" s="150"/>
      <c r="AQ148" s="150"/>
      <c r="AR148" s="150"/>
      <c r="AS148" s="153"/>
      <c r="AT148" s="156"/>
      <c r="AU148" s="153"/>
      <c r="AV148" s="150"/>
      <c r="AW148" s="150"/>
      <c r="AX148" s="150"/>
      <c r="AY148" s="150"/>
      <c r="AZ148" s="150"/>
      <c r="BA148" s="150"/>
      <c r="BB148" s="153"/>
      <c r="BC148" s="155"/>
      <c r="BD148" s="156"/>
    </row>
    <row r="149" spans="36:56" hidden="1" x14ac:dyDescent="0.25">
      <c r="AJ149" s="156"/>
      <c r="AK149" s="148"/>
      <c r="AL149" s="150"/>
      <c r="AM149" s="150"/>
      <c r="AN149" s="150"/>
      <c r="AO149" s="150"/>
      <c r="AP149" s="150"/>
      <c r="AQ149" s="150"/>
      <c r="AR149" s="150"/>
      <c r="AS149" s="153"/>
      <c r="AT149" s="156"/>
      <c r="AU149" s="153"/>
      <c r="AV149" s="150"/>
      <c r="AW149" s="150"/>
      <c r="AX149" s="150"/>
      <c r="AY149" s="150"/>
      <c r="AZ149" s="150"/>
      <c r="BA149" s="150"/>
      <c r="BB149" s="153"/>
      <c r="BC149" s="155"/>
      <c r="BD149" s="156"/>
    </row>
    <row r="150" spans="36:56" hidden="1" x14ac:dyDescent="0.25">
      <c r="AJ150" s="156"/>
      <c r="AK150" s="148"/>
      <c r="AL150" s="150"/>
      <c r="AM150" s="151"/>
      <c r="AN150" s="150"/>
      <c r="AO150" s="151"/>
      <c r="AP150" s="150"/>
      <c r="AQ150" s="151"/>
      <c r="AR150" s="150"/>
      <c r="AS150" s="153"/>
      <c r="AT150" s="156"/>
      <c r="AU150" s="153"/>
      <c r="AV150" s="150"/>
      <c r="AW150" s="151"/>
      <c r="AX150" s="150"/>
      <c r="AY150" s="151"/>
      <c r="AZ150" s="150"/>
      <c r="BA150" s="151"/>
      <c r="BB150" s="153"/>
      <c r="BC150" s="155"/>
      <c r="BD150" s="156"/>
    </row>
    <row r="151" spans="36:56" hidden="1" x14ac:dyDescent="0.25">
      <c r="AJ151" s="156" t="s">
        <v>200</v>
      </c>
      <c r="AK151" s="148"/>
      <c r="AL151" s="150"/>
      <c r="AM151" s="150"/>
      <c r="AN151" s="150"/>
      <c r="AO151" s="150"/>
      <c r="AP151" s="150"/>
      <c r="AQ151" s="150"/>
      <c r="AR151" s="150"/>
      <c r="AS151" s="153"/>
      <c r="AT151" s="156"/>
      <c r="AU151" s="153"/>
      <c r="AV151" s="150"/>
      <c r="AW151" s="150"/>
      <c r="AX151" s="150"/>
      <c r="AY151" s="150"/>
      <c r="AZ151" s="150"/>
      <c r="BA151" s="150"/>
      <c r="BB151" s="153"/>
      <c r="BC151" s="155"/>
      <c r="BD151" s="156"/>
    </row>
    <row r="152" spans="36:56" hidden="1" x14ac:dyDescent="0.25">
      <c r="AJ152" s="156"/>
      <c r="AK152" s="148"/>
      <c r="AL152" s="150"/>
      <c r="AM152" s="150"/>
      <c r="AN152" s="150"/>
      <c r="AO152" s="150"/>
      <c r="AP152" s="150"/>
      <c r="AQ152" s="150"/>
      <c r="AR152" s="150"/>
      <c r="AS152" s="153"/>
      <c r="AT152" s="156"/>
      <c r="AU152" s="153"/>
      <c r="AV152" s="150"/>
      <c r="AW152" s="150"/>
      <c r="AX152" s="150"/>
      <c r="AY152" s="150"/>
      <c r="AZ152" s="150"/>
      <c r="BA152" s="150"/>
      <c r="BB152" s="153"/>
      <c r="BC152" s="155"/>
      <c r="BD152" s="156"/>
    </row>
    <row r="153" spans="36:56" hidden="1" x14ac:dyDescent="0.25">
      <c r="AJ153" s="156"/>
      <c r="AK153" s="148"/>
      <c r="AL153" s="150"/>
      <c r="AM153" s="151"/>
      <c r="AN153" s="150"/>
      <c r="AO153" s="151"/>
      <c r="AP153" s="150"/>
      <c r="AQ153" s="151"/>
      <c r="AR153" s="150"/>
      <c r="AS153" s="153"/>
      <c r="AT153" s="156"/>
      <c r="AU153" s="153"/>
      <c r="AV153" s="150"/>
      <c r="AW153" s="151"/>
      <c r="AX153" s="150"/>
      <c r="AY153" s="151"/>
      <c r="AZ153" s="150"/>
      <c r="BA153" s="151"/>
      <c r="BB153" s="153"/>
      <c r="BC153" s="155"/>
      <c r="BD153" s="156"/>
    </row>
    <row r="154" spans="36:56" hidden="1" x14ac:dyDescent="0.25">
      <c r="AJ154" s="156"/>
      <c r="AK154" s="148"/>
      <c r="AL154" s="150"/>
      <c r="AM154" s="150"/>
      <c r="AN154" s="150"/>
      <c r="AO154" s="150"/>
      <c r="AP154" s="150"/>
      <c r="AQ154" s="150"/>
      <c r="AR154" s="150"/>
      <c r="AS154" s="153"/>
      <c r="AT154" s="156"/>
      <c r="AU154" s="153"/>
      <c r="AV154" s="150"/>
      <c r="AW154" s="150"/>
      <c r="AX154" s="150"/>
      <c r="AY154" s="150"/>
      <c r="AZ154" s="150"/>
      <c r="BA154" s="150"/>
      <c r="BB154" s="153"/>
      <c r="BC154" s="155"/>
      <c r="BD154" s="156"/>
    </row>
    <row r="155" spans="36:56" hidden="1" x14ac:dyDescent="0.25">
      <c r="AJ155" s="156"/>
      <c r="AK155" s="148"/>
      <c r="AL155" s="150"/>
      <c r="AM155" s="150"/>
      <c r="AN155" s="150"/>
      <c r="AO155" s="150"/>
      <c r="AP155" s="150"/>
      <c r="AQ155" s="150"/>
      <c r="AR155" s="150"/>
      <c r="AS155" s="153"/>
      <c r="AT155" s="156"/>
      <c r="AU155" s="153"/>
      <c r="AV155" s="150"/>
      <c r="AW155" s="150"/>
      <c r="AX155" s="150"/>
      <c r="AY155" s="150"/>
      <c r="AZ155" s="150"/>
      <c r="BA155" s="150"/>
      <c r="BB155" s="153"/>
      <c r="BC155" s="155"/>
      <c r="BD155" s="156"/>
    </row>
    <row r="156" spans="36:56" hidden="1" x14ac:dyDescent="0.25">
      <c r="AJ156" s="156"/>
      <c r="AK156" s="148"/>
      <c r="AL156" s="150"/>
      <c r="AM156" s="150"/>
      <c r="AN156" s="150"/>
      <c r="AO156" s="150"/>
      <c r="AP156" s="150"/>
      <c r="AQ156" s="150"/>
      <c r="AR156" s="150"/>
      <c r="AS156" s="153"/>
      <c r="AT156" s="156"/>
      <c r="AU156" s="153"/>
      <c r="AV156" s="150"/>
      <c r="AW156" s="150"/>
      <c r="AX156" s="150"/>
      <c r="AY156" s="150"/>
      <c r="AZ156" s="150"/>
      <c r="BA156" s="150"/>
      <c r="BB156" s="153"/>
      <c r="BC156" s="155"/>
      <c r="BD156" s="156"/>
    </row>
    <row r="157" spans="36:56" hidden="1" x14ac:dyDescent="0.25">
      <c r="AJ157" s="156"/>
      <c r="AK157" s="148"/>
      <c r="AL157" s="150"/>
      <c r="AM157" s="150"/>
      <c r="AN157" s="150"/>
      <c r="AO157" s="150"/>
      <c r="AP157" s="150"/>
      <c r="AQ157" s="150"/>
      <c r="AR157" s="150"/>
      <c r="AS157" s="153"/>
      <c r="AT157" s="156"/>
      <c r="AU157" s="153"/>
      <c r="AV157" s="150"/>
      <c r="AW157" s="150"/>
      <c r="AX157" s="150"/>
      <c r="AY157" s="150"/>
      <c r="AZ157" s="150"/>
      <c r="BA157" s="150"/>
      <c r="BB157" s="153"/>
      <c r="BC157" s="155"/>
      <c r="BD157" s="156"/>
    </row>
    <row r="158" spans="36:56" hidden="1" x14ac:dyDescent="0.25">
      <c r="AJ158" s="156"/>
      <c r="AK158" s="148"/>
      <c r="AL158" s="150"/>
      <c r="AM158" s="151"/>
      <c r="AN158" s="150"/>
      <c r="AO158" s="151"/>
      <c r="AP158" s="150"/>
      <c r="AQ158" s="151"/>
      <c r="AR158" s="150"/>
      <c r="AS158" s="153"/>
      <c r="AT158" s="156"/>
      <c r="AU158" s="153"/>
      <c r="AV158" s="150"/>
      <c r="AW158" s="151"/>
      <c r="AX158" s="150"/>
      <c r="AY158" s="151"/>
      <c r="AZ158" s="150"/>
      <c r="BA158" s="151"/>
      <c r="BB158" s="153"/>
      <c r="BC158" s="155"/>
      <c r="BD158" s="156"/>
    </row>
    <row r="159" spans="36:56" hidden="1" x14ac:dyDescent="0.25">
      <c r="AJ159" s="156"/>
      <c r="AK159" s="148"/>
      <c r="AL159" s="150"/>
      <c r="AM159" s="150"/>
      <c r="AN159" s="150"/>
      <c r="AO159" s="150"/>
      <c r="AP159" s="150"/>
      <c r="AQ159" s="150"/>
      <c r="AR159" s="150"/>
      <c r="AS159" s="153"/>
      <c r="AT159" s="156"/>
      <c r="AU159" s="153"/>
      <c r="AV159" s="150"/>
      <c r="AW159" s="150"/>
      <c r="AX159" s="150"/>
      <c r="AY159" s="150"/>
      <c r="AZ159" s="150"/>
      <c r="BA159" s="150"/>
      <c r="BB159" s="153"/>
      <c r="BC159" s="155"/>
      <c r="BD159" s="156"/>
    </row>
    <row r="160" spans="36:56" hidden="1" x14ac:dyDescent="0.25">
      <c r="AJ160" s="156"/>
      <c r="AK160" s="148"/>
      <c r="AL160" s="150"/>
      <c r="AM160" s="150"/>
      <c r="AN160" s="150"/>
      <c r="AO160" s="150"/>
      <c r="AP160" s="150"/>
      <c r="AQ160" s="150"/>
      <c r="AR160" s="150"/>
      <c r="AS160" s="153"/>
      <c r="AT160" s="156"/>
      <c r="AU160" s="153"/>
      <c r="AV160" s="150"/>
      <c r="AW160" s="150"/>
      <c r="AX160" s="150"/>
      <c r="AY160" s="150"/>
      <c r="AZ160" s="150"/>
      <c r="BA160" s="150"/>
      <c r="BB160" s="153"/>
      <c r="BC160" s="155"/>
      <c r="BD160" s="156"/>
    </row>
    <row r="161" spans="36:56" hidden="1" x14ac:dyDescent="0.25">
      <c r="AJ161" s="156"/>
      <c r="AK161" s="148"/>
      <c r="AL161" s="150"/>
      <c r="AM161" s="151"/>
      <c r="AN161" s="150"/>
      <c r="AO161" s="151"/>
      <c r="AP161" s="150"/>
      <c r="AQ161" s="151"/>
      <c r="AR161" s="150"/>
      <c r="AS161" s="153"/>
      <c r="AT161" s="156"/>
      <c r="AU161" s="153"/>
      <c r="AV161" s="150"/>
      <c r="AW161" s="151"/>
      <c r="AX161" s="150"/>
      <c r="AY161" s="151"/>
      <c r="AZ161" s="150"/>
      <c r="BA161" s="151"/>
      <c r="BB161" s="153"/>
      <c r="BC161" s="155"/>
      <c r="BD161" s="156"/>
    </row>
    <row r="162" spans="36:56" hidden="1" x14ac:dyDescent="0.25">
      <c r="AJ162" s="156"/>
      <c r="AK162" s="148"/>
      <c r="AL162" s="150"/>
      <c r="AM162" s="150"/>
      <c r="AN162" s="150"/>
      <c r="AO162" s="150"/>
      <c r="AP162" s="150"/>
      <c r="AQ162" s="150"/>
      <c r="AR162" s="150"/>
      <c r="AS162" s="153"/>
      <c r="AT162" s="156"/>
      <c r="AU162" s="153"/>
      <c r="AV162" s="150"/>
      <c r="AW162" s="150"/>
      <c r="AX162" s="150"/>
      <c r="AY162" s="150"/>
      <c r="AZ162" s="150"/>
      <c r="BA162" s="150"/>
      <c r="BB162" s="153"/>
      <c r="BC162" s="155"/>
      <c r="BD162" s="156"/>
    </row>
    <row r="163" spans="36:56" hidden="1" x14ac:dyDescent="0.25">
      <c r="AJ163" s="156" t="s">
        <v>200</v>
      </c>
      <c r="AK163" s="148"/>
      <c r="AL163" s="150"/>
      <c r="AM163" s="150"/>
      <c r="AN163" s="150"/>
      <c r="AO163" s="150"/>
      <c r="AP163" s="150"/>
      <c r="AQ163" s="150"/>
      <c r="AR163" s="150"/>
      <c r="AS163" s="153"/>
      <c r="AT163" s="156"/>
      <c r="AU163" s="153"/>
      <c r="AV163" s="150"/>
      <c r="AW163" s="150"/>
      <c r="AX163" s="150"/>
      <c r="AY163" s="150"/>
      <c r="AZ163" s="150"/>
      <c r="BA163" s="150"/>
      <c r="BB163" s="153"/>
      <c r="BC163" s="155"/>
      <c r="BD163" s="156"/>
    </row>
    <row r="164" spans="36:56" hidden="1" x14ac:dyDescent="0.25">
      <c r="AJ164" s="156"/>
      <c r="AK164" s="148"/>
      <c r="AL164" s="150"/>
      <c r="AM164" s="150"/>
      <c r="AN164" s="150"/>
      <c r="AO164" s="150"/>
      <c r="AP164" s="150"/>
      <c r="AQ164" s="150"/>
      <c r="AR164" s="150"/>
      <c r="AS164" s="153"/>
      <c r="AT164" s="156"/>
      <c r="AU164" s="153"/>
      <c r="AV164" s="150"/>
      <c r="AW164" s="150"/>
      <c r="AX164" s="150"/>
      <c r="AY164" s="150"/>
      <c r="AZ164" s="150"/>
      <c r="BA164" s="150"/>
      <c r="BB164" s="153"/>
      <c r="BC164" s="155"/>
      <c r="BD164" s="156"/>
    </row>
    <row r="165" spans="36:56" hidden="1" x14ac:dyDescent="0.25">
      <c r="AJ165" s="156"/>
      <c r="AK165" s="148"/>
      <c r="AL165" s="150"/>
      <c r="AM165" s="150"/>
      <c r="AN165" s="150"/>
      <c r="AO165" s="150"/>
      <c r="AP165" s="150"/>
      <c r="AQ165" s="150"/>
      <c r="AR165" s="150"/>
      <c r="AS165" s="153"/>
      <c r="AT165" s="156"/>
      <c r="AU165" s="153"/>
      <c r="AV165" s="150"/>
      <c r="AW165" s="150"/>
      <c r="AX165" s="150"/>
      <c r="AY165" s="150"/>
      <c r="AZ165" s="150"/>
      <c r="BA165" s="150"/>
      <c r="BB165" s="153"/>
      <c r="BC165" s="155"/>
      <c r="BD165" s="156"/>
    </row>
    <row r="166" spans="36:56" hidden="1" x14ac:dyDescent="0.25">
      <c r="AJ166" s="156" t="s">
        <v>200</v>
      </c>
      <c r="AK166" s="148"/>
      <c r="AL166" s="150"/>
      <c r="AM166" s="151"/>
      <c r="AN166" s="150"/>
      <c r="AO166" s="151"/>
      <c r="AP166" s="150"/>
      <c r="AQ166" s="151"/>
      <c r="AR166" s="150"/>
      <c r="AS166" s="153"/>
      <c r="AT166" s="156"/>
      <c r="AU166" s="153"/>
      <c r="AV166" s="150"/>
      <c r="AW166" s="151"/>
      <c r="AX166" s="150"/>
      <c r="AY166" s="151"/>
      <c r="AZ166" s="150"/>
      <c r="BA166" s="151"/>
      <c r="BB166" s="153"/>
      <c r="BC166" s="155"/>
      <c r="BD166" s="156"/>
    </row>
    <row r="167" spans="36:56" hidden="1" x14ac:dyDescent="0.25">
      <c r="AJ167" s="156" t="s">
        <v>200</v>
      </c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  <c r="AV167" s="153"/>
      <c r="AW167" s="153"/>
      <c r="AX167" s="153"/>
      <c r="AY167" s="153"/>
      <c r="AZ167" s="153"/>
      <c r="BA167" s="153"/>
      <c r="BB167" s="153"/>
      <c r="BC167" s="155"/>
      <c r="BD167" s="156"/>
    </row>
    <row r="168" spans="36:56" x14ac:dyDescent="0.25">
      <c r="AJ168" s="122"/>
      <c r="AK168" s="122"/>
      <c r="AL168" s="122"/>
      <c r="AM168" s="122"/>
      <c r="AN168" s="122"/>
      <c r="AO168" s="123">
        <f>AVERAGE(AO170:AO249)</f>
        <v>81.047500000000014</v>
      </c>
      <c r="AP168" s="122"/>
      <c r="AQ168" s="122"/>
      <c r="AR168" s="122"/>
      <c r="AS168" s="122"/>
      <c r="AT168" s="122"/>
      <c r="AU168" s="122"/>
      <c r="AV168" s="122"/>
      <c r="AW168" s="122"/>
      <c r="AX168" s="122"/>
      <c r="AY168" s="124">
        <f>AVERAGE(AY170:AY249)</f>
        <v>82.083333333333329</v>
      </c>
      <c r="AZ168" s="122"/>
      <c r="BA168" s="122"/>
      <c r="BB168" s="122"/>
      <c r="BC168" s="122"/>
      <c r="BD168" s="122"/>
    </row>
    <row r="169" spans="36:56" x14ac:dyDescent="0.25">
      <c r="AJ169" s="87" t="s">
        <v>199</v>
      </c>
      <c r="AK169" s="87"/>
      <c r="AL169" s="87"/>
      <c r="AM169" s="87" t="s">
        <v>211</v>
      </c>
      <c r="AN169" s="87"/>
      <c r="AO169" s="87" t="s">
        <v>61</v>
      </c>
      <c r="AP169" s="87"/>
      <c r="AQ169" s="87"/>
      <c r="AR169" s="125"/>
      <c r="AS169" s="87"/>
      <c r="AT169" s="87"/>
      <c r="AU169" s="87"/>
      <c r="AV169" s="88"/>
      <c r="AW169" s="88"/>
      <c r="AX169" s="88"/>
      <c r="AY169" s="88" t="s">
        <v>61</v>
      </c>
      <c r="AZ169" s="88"/>
      <c r="BA169" s="88" t="s">
        <v>211</v>
      </c>
      <c r="BB169" s="88"/>
      <c r="BC169" s="88"/>
      <c r="BD169" s="88" t="s">
        <v>201</v>
      </c>
    </row>
    <row r="170" spans="36:56" x14ac:dyDescent="0.25">
      <c r="AJ170" s="38" t="str" cm="1">
        <f t="array" ref="AJ170:AJ177">_xlfn._xlws.FILTER(CHOOSE({1}, dataRolls!A:A), dataRolls!B:B=[0]!OFNumber)</f>
        <v>4321-23</v>
      </c>
      <c r="AM170" s="38" cm="1">
        <f t="array" ref="AM170:AM177">_xlfn._xlws.FILTER(CHOOSE({1}, dataRolls!I:I), dataRolls!B:B=[0]!OFNumber)</f>
        <v>32</v>
      </c>
      <c r="AO170" s="38" cm="1">
        <f t="array" ref="AO170:AO177">ROUND(_xlfn._xlws.FILTER(CHOOSE({1}, dataRolls!J:J), dataRolls!B:B=[0]!OFNumber),2)</f>
        <v>79.53</v>
      </c>
      <c r="AQ170" s="38" t="str" cm="1">
        <f t="array" ref="AQ170:AQ177">_xlfn._xlws.FILTER(CHOOSE({1}, dataRolls!E:E), dataRolls!B:B=[0]!OFNumber)</f>
        <v>CONFORME</v>
      </c>
      <c r="AW170" s="38" t="str" cm="1">
        <f t="array" ref="AW170:AW172">IFERROR(_xlfn._xlws.FILTER(CHOOSE({1}, dataRolls!E:E), dataRolls!D:D=productRollFabricationShift),"")</f>
        <v>CONFORME</v>
      </c>
      <c r="AY170" s="38" cm="1">
        <f t="array" ref="AY170:AY172">IFERROR(_xlfn._xlws.FILTER(CHOOSE({1}, dataRolls!J:J), dataRolls!D:D=productRollFabricationShift),"")</f>
        <v>82.625</v>
      </c>
      <c r="BA170" s="38" cm="1">
        <f t="array" ref="BA170:BA172">IFERROR(_xlfn._xlws.FILTER(CHOOSE({1}, dataRolls!I:I), dataRolls!D:D=productRollFabricationShift),"")</f>
        <v>32</v>
      </c>
      <c r="BD170" s="38" t="str" cm="1">
        <f t="array" ref="BD170:BD172">IFERROR(_xlfn._xlws.FILTER(CHOOSE({1}, dataRolls!A:A), dataRolls!D:D=productRollFabricationShift),"")</f>
        <v>4321-29</v>
      </c>
    </row>
    <row r="171" spans="36:56" x14ac:dyDescent="0.25">
      <c r="AJ171" s="38" t="str">
        <v>4321-24</v>
      </c>
      <c r="AM171" s="38">
        <v>32</v>
      </c>
      <c r="AO171" s="38">
        <v>80.38</v>
      </c>
      <c r="AQ171" s="38" t="str">
        <v>CONFORME</v>
      </c>
      <c r="AW171" s="38" t="str">
        <v>NON CONFORME</v>
      </c>
      <c r="AY171" s="38">
        <v>81.125</v>
      </c>
      <c r="BA171" s="38">
        <v>32</v>
      </c>
      <c r="BD171" s="38" t="str">
        <v>9999-120625-1740</v>
      </c>
    </row>
    <row r="172" spans="36:56" x14ac:dyDescent="0.25">
      <c r="AJ172" s="38" t="str">
        <v>4321-25</v>
      </c>
      <c r="AM172" s="38">
        <v>32</v>
      </c>
      <c r="AO172" s="38">
        <v>80.34</v>
      </c>
      <c r="AQ172" s="38" t="str">
        <v>CONFORME</v>
      </c>
      <c r="AW172" s="38" t="str">
        <v>CONFORME</v>
      </c>
      <c r="AY172" s="38">
        <v>82.5</v>
      </c>
      <c r="BA172" s="38">
        <v>32</v>
      </c>
      <c r="BD172" s="38" t="str">
        <v>4321-30</v>
      </c>
    </row>
    <row r="173" spans="36:56" x14ac:dyDescent="0.25">
      <c r="AJ173" s="38" t="str">
        <v>4321-26</v>
      </c>
      <c r="AM173" s="38">
        <v>32</v>
      </c>
      <c r="AO173" s="38">
        <v>81.22</v>
      </c>
      <c r="AQ173" s="38" t="str">
        <v>CONFORME</v>
      </c>
    </row>
    <row r="174" spans="36:56" x14ac:dyDescent="0.25">
      <c r="AJ174" s="38" t="str">
        <v>4321-27</v>
      </c>
      <c r="AM174" s="38">
        <v>32</v>
      </c>
      <c r="AO174" s="38">
        <v>80.97</v>
      </c>
      <c r="AQ174" s="38" t="str">
        <v>CONFORME</v>
      </c>
    </row>
    <row r="175" spans="36:56" x14ac:dyDescent="0.25">
      <c r="AJ175" s="38" t="str">
        <v>4321-28</v>
      </c>
      <c r="AM175" s="38">
        <v>32</v>
      </c>
      <c r="AO175" s="38">
        <v>80.81</v>
      </c>
      <c r="AQ175" s="38" t="str">
        <v>CONFORME</v>
      </c>
    </row>
    <row r="176" spans="36:56" x14ac:dyDescent="0.25">
      <c r="AJ176" s="38" t="str">
        <v>4321-29</v>
      </c>
      <c r="AM176" s="38">
        <v>32</v>
      </c>
      <c r="AO176" s="38">
        <v>82.63</v>
      </c>
      <c r="AQ176" s="38" t="str">
        <v>CONFORME</v>
      </c>
    </row>
    <row r="177" spans="36:43" x14ac:dyDescent="0.25">
      <c r="AJ177" s="38" t="str">
        <v>4321-30</v>
      </c>
      <c r="AM177" s="38">
        <v>32</v>
      </c>
      <c r="AO177" s="38">
        <v>82.5</v>
      </c>
      <c r="AQ177" s="38" t="str">
        <v>CONFORME</v>
      </c>
    </row>
    <row r="7071" spans="39:39" x14ac:dyDescent="0.25">
      <c r="AM7071" s="39"/>
    </row>
  </sheetData>
  <sheetProtection selectLockedCells="1"/>
  <mergeCells count="45">
    <mergeCell ref="AD78:AF78"/>
    <mergeCell ref="AD79:AF79"/>
    <mergeCell ref="BG45:BK45"/>
    <mergeCell ref="BG46:BK46"/>
    <mergeCell ref="BG47:BK47"/>
    <mergeCell ref="BG48:BK48"/>
    <mergeCell ref="BG49:BK49"/>
    <mergeCell ref="BG50:BK50"/>
    <mergeCell ref="AR52:AV52"/>
    <mergeCell ref="AF46:AG49"/>
    <mergeCell ref="AM49:AW49"/>
    <mergeCell ref="AL46:AP46"/>
    <mergeCell ref="AL48:AP48"/>
    <mergeCell ref="AM47:AO47"/>
    <mergeCell ref="BB47:BC47"/>
    <mergeCell ref="BB49:BC49"/>
    <mergeCell ref="BB46:BC46"/>
    <mergeCell ref="BB48:BC48"/>
    <mergeCell ref="AQ46:AW46"/>
    <mergeCell ref="AQ48:AW48"/>
    <mergeCell ref="AQ47:AW47"/>
    <mergeCell ref="AC70:AG70"/>
    <mergeCell ref="AC71:AG71"/>
    <mergeCell ref="AD54:AF54"/>
    <mergeCell ref="AD56:AF56"/>
    <mergeCell ref="AC61:AD61"/>
    <mergeCell ref="AC60:AD60"/>
    <mergeCell ref="AC63:AD63"/>
    <mergeCell ref="AC64:AD64"/>
    <mergeCell ref="AC68:AG68"/>
    <mergeCell ref="AC69:AG69"/>
    <mergeCell ref="AC66:AG66"/>
    <mergeCell ref="BO53:BP53"/>
    <mergeCell ref="BO57:BP57"/>
    <mergeCell ref="AC67:AG67"/>
    <mergeCell ref="AR60:AV60"/>
    <mergeCell ref="BG101:BK101"/>
    <mergeCell ref="BI60:BJ60"/>
    <mergeCell ref="BI61:BJ61"/>
    <mergeCell ref="BI62:BJ62"/>
    <mergeCell ref="BI63:BJ63"/>
    <mergeCell ref="BI64:BJ64"/>
    <mergeCell ref="BJ80:BK81"/>
    <mergeCell ref="BJ77:BK77"/>
    <mergeCell ref="BJ78:BK79"/>
  </mergeCells>
  <conditionalFormatting sqref="BJ78:BK79">
    <cfRule type="containsText" dxfId="25" priority="34" operator="containsText" text="NON CONFORME">
      <formula>NOT(ISERROR(SEARCH("NON CONFORME",BJ78)))</formula>
    </cfRule>
    <cfRule type="containsText" dxfId="24" priority="35" operator="containsText" text="CONFORME">
      <formula>NOT(ISERROR(SEARCH("CONFORME",BJ78)))</formula>
    </cfRule>
  </conditionalFormatting>
  <conditionalFormatting sqref="AC61:AD61 AC64:AD64">
    <cfRule type="containsText" dxfId="23" priority="32" operator="containsText" text="Démarrée">
      <formula>NOT(ISERROR(SEARCH("Démarrée",AC61)))</formula>
    </cfRule>
    <cfRule type="containsText" dxfId="22" priority="33" operator="containsText" text="A l'Arrêt">
      <formula>NOT(ISERROR(SEARCH("A l'Arrêt",AC61)))</formula>
    </cfRule>
  </conditionalFormatting>
  <conditionalFormatting sqref="AO55:AO57 AY55:AY57">
    <cfRule type="cellIs" dxfId="21" priority="29" operator="notBetween">
      <formula>$BH$61</formula>
      <formula>$BK$61</formula>
    </cfRule>
    <cfRule type="cellIs" dxfId="20" priority="36" operator="between">
      <formula>$BH$61</formula>
      <formula>$BK$61</formula>
    </cfRule>
  </conditionalFormatting>
  <conditionalFormatting sqref="AT55">
    <cfRule type="cellIs" dxfId="19" priority="20" operator="between">
      <formula>$BH$62</formula>
      <formula>$BK$62</formula>
    </cfRule>
    <cfRule type="cellIs" dxfId="18" priority="31" operator="notBetween">
      <formula>$BH$62</formula>
      <formula>$BK$62</formula>
    </cfRule>
  </conditionalFormatting>
  <conditionalFormatting sqref="AM63 AQ63 AW63 BA63">
    <cfRule type="cellIs" dxfId="17" priority="21" operator="notBetween">
      <formula>$BH$64</formula>
      <formula>$BK$64</formula>
    </cfRule>
    <cfRule type="cellIs" dxfId="16" priority="30" operator="between">
      <formula>$BH$64</formula>
      <formula>$BK$64</formula>
    </cfRule>
  </conditionalFormatting>
  <conditionalFormatting sqref="AO58 AY58">
    <cfRule type="cellIs" dxfId="15" priority="28" operator="notBetween">
      <formula>$BH$61</formula>
      <formula>$BK$61</formula>
    </cfRule>
  </conditionalFormatting>
  <conditionalFormatting sqref="AR60">
    <cfRule type="containsText" dxfId="14" priority="26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13" priority="22" stopIfTrue="1">
      <formula>LEN(TRIM(AM55))=0</formula>
    </cfRule>
  </conditionalFormatting>
  <dataValidations disablePrompts="1"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65</xdr:col>
                    <xdr:colOff>9525</xdr:colOff>
                    <xdr:row>66</xdr:row>
                    <xdr:rowOff>76200</xdr:rowOff>
                  </from>
                  <to>
                    <xdr:col>67</xdr:col>
                    <xdr:colOff>133350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67</xdr:col>
                    <xdr:colOff>238125</xdr:colOff>
                    <xdr:row>66</xdr:row>
                    <xdr:rowOff>76200</xdr:rowOff>
                  </from>
                  <to>
                    <xdr:col>69</xdr:col>
                    <xdr:colOff>304800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133350</xdr:colOff>
                    <xdr:row>72</xdr:row>
                    <xdr:rowOff>123825</xdr:rowOff>
                  </from>
                  <to>
                    <xdr:col>33</xdr:col>
                    <xdr:colOff>0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7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152400</xdr:colOff>
                    <xdr:row>83</xdr:row>
                    <xdr:rowOff>123825</xdr:rowOff>
                  </from>
                  <to>
                    <xdr:col>63</xdr:col>
                    <xdr:colOff>57150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8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Button 103">
              <controlPr defaultSize="0" print="0" autoFill="0" autoPict="0" macro="[0]!FillGlobalsCtrlRandom">
                <anchor moveWithCells="1" sizeWithCells="1">
                  <from>
                    <xdr:col>65</xdr:col>
                    <xdr:colOff>19050</xdr:colOff>
                    <xdr:row>69</xdr:row>
                    <xdr:rowOff>85725</xdr:rowOff>
                  </from>
                  <to>
                    <xdr:col>67</xdr:col>
                    <xdr:colOff>142875</xdr:colOff>
                    <xdr:row>71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  <x14:dataValidation type="list" allowBlank="1" showInputMessage="1" showErrorMessage="1" xr:uid="{C1030BBD-CE61-47D5-A373-9BD9875B28D4}">
          <x14:formula1>
            <xm:f>params!$J$2:$J$5</xm:f>
          </x14:formula1>
          <xm:sqref>AM47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Q22"/>
  <sheetViews>
    <sheetView workbookViewId="0">
      <selection activeCell="H6" sqref="H6"/>
    </sheetView>
  </sheetViews>
  <sheetFormatPr baseColWidth="10" defaultRowHeight="15" x14ac:dyDescent="0.25"/>
  <cols>
    <col min="1" max="1" width="17.140625" bestFit="1" customWidth="1"/>
    <col min="10" max="10" width="12.28515625" bestFit="1" customWidth="1"/>
  </cols>
  <sheetData>
    <row r="1" spans="1:17" x14ac:dyDescent="0.25">
      <c r="A1" t="s">
        <v>45</v>
      </c>
      <c r="B1" t="s">
        <v>54</v>
      </c>
      <c r="C1" t="s">
        <v>58</v>
      </c>
      <c r="E1" s="67" t="s">
        <v>213</v>
      </c>
      <c r="F1" s="67"/>
      <c r="J1" t="s">
        <v>180</v>
      </c>
      <c r="N1">
        <v>0</v>
      </c>
      <c r="P1" s="112"/>
      <c r="Q1" s="110"/>
    </row>
    <row r="2" spans="1:17" x14ac:dyDescent="0.25">
      <c r="A2" t="s">
        <v>52</v>
      </c>
      <c r="B2" t="s">
        <v>15</v>
      </c>
      <c r="C2" s="50">
        <v>0.33333333333333331</v>
      </c>
      <c r="E2" s="147" t="s">
        <v>60</v>
      </c>
      <c r="F2" s="147"/>
      <c r="J2" t="s">
        <v>181</v>
      </c>
      <c r="N2">
        <v>180</v>
      </c>
      <c r="P2" s="111"/>
      <c r="Q2" s="111"/>
    </row>
    <row r="3" spans="1:17" x14ac:dyDescent="0.25">
      <c r="A3" t="s">
        <v>51</v>
      </c>
      <c r="B3" t="s">
        <v>55</v>
      </c>
      <c r="J3" t="s">
        <v>188</v>
      </c>
      <c r="N3" s="113"/>
      <c r="O3">
        <v>0.32</v>
      </c>
      <c r="P3" s="111"/>
      <c r="Q3" s="111"/>
    </row>
    <row r="4" spans="1:17" x14ac:dyDescent="0.25">
      <c r="A4" t="s">
        <v>48</v>
      </c>
      <c r="B4" t="s">
        <v>56</v>
      </c>
      <c r="C4" s="50">
        <v>2.0833333333333332E-2</v>
      </c>
      <c r="P4" s="111"/>
      <c r="Q4" s="111"/>
    </row>
    <row r="5" spans="1:17" x14ac:dyDescent="0.25">
      <c r="A5" t="s">
        <v>49</v>
      </c>
      <c r="C5" s="50">
        <v>4.1666666666666664E-2</v>
      </c>
      <c r="J5" t="s">
        <v>182</v>
      </c>
      <c r="P5" s="111"/>
      <c r="Q5" s="111"/>
    </row>
    <row r="6" spans="1:17" x14ac:dyDescent="0.25">
      <c r="A6" t="s">
        <v>47</v>
      </c>
      <c r="B6" t="s">
        <v>57</v>
      </c>
      <c r="C6" s="50">
        <v>6.25E-2</v>
      </c>
    </row>
    <row r="7" spans="1:17" x14ac:dyDescent="0.25">
      <c r="A7" t="s">
        <v>59</v>
      </c>
      <c r="C7" s="50">
        <v>8.3333333333333329E-2</v>
      </c>
    </row>
    <row r="8" spans="1:17" x14ac:dyDescent="0.25">
      <c r="A8" t="s">
        <v>50</v>
      </c>
      <c r="C8" s="50">
        <v>0.10416666666666667</v>
      </c>
    </row>
    <row r="9" spans="1:17" x14ac:dyDescent="0.25">
      <c r="A9" t="s">
        <v>46</v>
      </c>
      <c r="C9" s="50">
        <v>0.125</v>
      </c>
    </row>
    <row r="10" spans="1:17" x14ac:dyDescent="0.25">
      <c r="C10" s="50">
        <v>0.14583333333333301</v>
      </c>
    </row>
    <row r="11" spans="1:17" x14ac:dyDescent="0.25">
      <c r="A11" t="s">
        <v>53</v>
      </c>
      <c r="C11" s="50">
        <v>0.16666666666666599</v>
      </c>
    </row>
    <row r="12" spans="1:17" x14ac:dyDescent="0.25">
      <c r="C12" s="50">
        <v>0.1875</v>
      </c>
    </row>
    <row r="13" spans="1:17" x14ac:dyDescent="0.25">
      <c r="C13" s="50">
        <v>0.20833333333333301</v>
      </c>
    </row>
    <row r="14" spans="1:17" x14ac:dyDescent="0.25">
      <c r="C14" s="50">
        <v>0.22916666666666599</v>
      </c>
    </row>
    <row r="15" spans="1:17" x14ac:dyDescent="0.25">
      <c r="C15" s="50">
        <v>0.25</v>
      </c>
    </row>
    <row r="16" spans="1:17" x14ac:dyDescent="0.25">
      <c r="C16" s="50">
        <v>0.27083333333333298</v>
      </c>
    </row>
    <row r="17" spans="3:3" x14ac:dyDescent="0.25">
      <c r="C17" s="50">
        <v>0.29166666666666602</v>
      </c>
    </row>
    <row r="18" spans="3:3" x14ac:dyDescent="0.25">
      <c r="C18" s="50">
        <v>0.3125</v>
      </c>
    </row>
    <row r="19" spans="3:3" ht="15" customHeight="1" x14ac:dyDescent="0.25">
      <c r="C19" s="50">
        <v>0.35416666666666602</v>
      </c>
    </row>
    <row r="20" spans="3:3" ht="15" customHeight="1" x14ac:dyDescent="0.25">
      <c r="C20" s="50">
        <v>0.375</v>
      </c>
    </row>
    <row r="21" spans="3:3" ht="15" customHeight="1" x14ac:dyDescent="0.25">
      <c r="C21" s="50">
        <v>0.39583333333333298</v>
      </c>
    </row>
    <row r="22" spans="3:3" x14ac:dyDescent="0.25">
      <c r="C22" s="50">
        <v>0.41666666666666602</v>
      </c>
    </row>
  </sheetData>
  <sortState xmlns:xlrd2="http://schemas.microsoft.com/office/spreadsheetml/2017/richdata2" ref="J2:J3">
    <sortCondition ref="J2:J3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66"/>
  <sheetViews>
    <sheetView workbookViewId="0">
      <selection activeCell="J4" sqref="J4"/>
    </sheetView>
  </sheetViews>
  <sheetFormatPr baseColWidth="10" defaultRowHeight="15" x14ac:dyDescent="0.25"/>
  <cols>
    <col min="1" max="1" width="29.7109375" style="117" bestFit="1" customWidth="1"/>
    <col min="2" max="2" width="10.42578125" style="117" bestFit="1" customWidth="1"/>
    <col min="3" max="3" width="15" style="117" bestFit="1" customWidth="1"/>
    <col min="4" max="4" width="9.85546875" style="117" bestFit="1" customWidth="1"/>
    <col min="5" max="5" width="6.140625" style="117" bestFit="1" customWidth="1"/>
    <col min="6" max="6" width="18" style="117" bestFit="1" customWidth="1"/>
    <col min="7" max="7" width="20" style="117" bestFit="1" customWidth="1"/>
    <col min="8" max="8" width="16.28515625" style="117" bestFit="1" customWidth="1"/>
    <col min="9" max="9" width="18.28515625" style="117" bestFit="1" customWidth="1"/>
    <col min="10" max="10" width="13.85546875" style="117" bestFit="1" customWidth="1"/>
    <col min="11" max="11" width="15.42578125" style="117" bestFit="1" customWidth="1"/>
    <col min="12" max="13" width="16.28515625" style="117" bestFit="1" customWidth="1"/>
    <col min="14" max="19" width="9.28515625" style="117" bestFit="1" customWidth="1"/>
    <col min="20" max="20" width="21.85546875" style="117" bestFit="1" customWidth="1"/>
    <col min="21" max="22" width="21.7109375" style="117" bestFit="1" customWidth="1"/>
    <col min="23" max="23" width="21.85546875" style="117" bestFit="1" customWidth="1"/>
    <col min="24" max="24" width="7.85546875" style="117" bestFit="1" customWidth="1"/>
    <col min="25" max="25" width="6.42578125" style="117" bestFit="1" customWidth="1"/>
    <col min="26" max="26" width="15" style="117" bestFit="1" customWidth="1"/>
    <col min="27" max="46" width="11.42578125" style="117"/>
    <col min="47" max="47" width="2" style="117" bestFit="1" customWidth="1"/>
    <col min="48" max="16384" width="11.42578125" style="117"/>
  </cols>
  <sheetData>
    <row r="1" spans="1:26" s="116" customFormat="1" x14ac:dyDescent="0.25">
      <c r="A1" s="116" t="s">
        <v>91</v>
      </c>
      <c r="B1" s="116" t="s">
        <v>130</v>
      </c>
      <c r="C1" s="116" t="s">
        <v>131</v>
      </c>
      <c r="D1" s="116" t="s">
        <v>132</v>
      </c>
      <c r="E1" s="116" t="s">
        <v>133</v>
      </c>
      <c r="F1" s="116" t="s">
        <v>134</v>
      </c>
      <c r="G1" s="116" t="s">
        <v>135</v>
      </c>
      <c r="H1" s="116" t="s">
        <v>136</v>
      </c>
      <c r="I1" s="116" t="s">
        <v>137</v>
      </c>
      <c r="J1" s="116" t="s">
        <v>70</v>
      </c>
      <c r="K1" s="116" t="s">
        <v>138</v>
      </c>
      <c r="L1" s="116" t="s">
        <v>139</v>
      </c>
      <c r="M1" s="116" t="s">
        <v>140</v>
      </c>
      <c r="N1" s="116" t="s">
        <v>141</v>
      </c>
      <c r="O1" s="116" t="s">
        <v>142</v>
      </c>
      <c r="P1" s="116" t="s">
        <v>143</v>
      </c>
      <c r="Q1" s="116" t="s">
        <v>144</v>
      </c>
      <c r="R1" s="116" t="s">
        <v>145</v>
      </c>
      <c r="S1" s="116" t="s">
        <v>146</v>
      </c>
      <c r="T1" s="116" t="s">
        <v>147</v>
      </c>
      <c r="U1" s="116" t="s">
        <v>148</v>
      </c>
      <c r="V1" s="116" t="s">
        <v>149</v>
      </c>
      <c r="W1" s="116" t="s">
        <v>150</v>
      </c>
      <c r="X1" s="116" t="s">
        <v>151</v>
      </c>
      <c r="Y1" s="116" t="s">
        <v>152</v>
      </c>
      <c r="Z1" s="116" t="s">
        <v>153</v>
      </c>
    </row>
    <row r="2" spans="1:26" x14ac:dyDescent="0.25">
      <c r="A2" s="117" t="s">
        <v>230</v>
      </c>
      <c r="B2" s="118">
        <v>45819</v>
      </c>
      <c r="C2" s="117" t="s">
        <v>46</v>
      </c>
      <c r="D2" s="117" t="s">
        <v>56</v>
      </c>
      <c r="E2" s="117">
        <v>480</v>
      </c>
      <c r="F2" s="117" t="s">
        <v>71</v>
      </c>
      <c r="G2" s="117">
        <v>2</v>
      </c>
      <c r="H2" s="117" t="s">
        <v>39</v>
      </c>
      <c r="J2" s="117" t="s">
        <v>289</v>
      </c>
      <c r="K2" s="119">
        <v>45819.95722222222</v>
      </c>
      <c r="L2" s="117">
        <v>35.29</v>
      </c>
      <c r="M2" s="117">
        <v>35.24</v>
      </c>
      <c r="N2" s="117">
        <v>37.520000000000003</v>
      </c>
      <c r="O2" s="117">
        <v>35.770000000000003</v>
      </c>
      <c r="P2" s="117">
        <v>32.590000000000003</v>
      </c>
      <c r="Q2" s="117">
        <v>35.79</v>
      </c>
      <c r="R2" s="117">
        <v>34.57</v>
      </c>
      <c r="S2" s="117">
        <v>35.369999999999997</v>
      </c>
      <c r="T2" s="117">
        <v>1.0999999999999999E-2</v>
      </c>
      <c r="U2" s="117">
        <v>1.1599999999999999E-2</v>
      </c>
      <c r="V2" s="117">
        <v>1.14E-2</v>
      </c>
      <c r="W2" s="117">
        <v>9.1000000000000004E-3</v>
      </c>
      <c r="X2" s="117">
        <v>0.25</v>
      </c>
      <c r="Y2" s="117" t="s">
        <v>65</v>
      </c>
    </row>
    <row r="3" spans="1:26" x14ac:dyDescent="0.25">
      <c r="A3" s="117" t="s">
        <v>228</v>
      </c>
      <c r="B3" s="118">
        <v>45819</v>
      </c>
      <c r="C3" s="117" t="s">
        <v>47</v>
      </c>
      <c r="D3" s="117" t="s">
        <v>15</v>
      </c>
      <c r="E3" s="117">
        <v>480</v>
      </c>
      <c r="F3" s="117" t="s">
        <v>71</v>
      </c>
      <c r="G3" s="117">
        <v>21</v>
      </c>
      <c r="H3" s="117" t="s">
        <v>71</v>
      </c>
      <c r="I3" s="117">
        <v>9</v>
      </c>
      <c r="J3" s="117" t="s">
        <v>290</v>
      </c>
      <c r="K3" s="119">
        <v>45819.959479166668</v>
      </c>
      <c r="L3" s="117">
        <v>36.22</v>
      </c>
      <c r="M3" s="117">
        <v>34.79</v>
      </c>
      <c r="N3" s="117">
        <v>37.5</v>
      </c>
      <c r="O3" s="117">
        <v>36.07</v>
      </c>
      <c r="P3" s="117">
        <v>35.08</v>
      </c>
      <c r="Q3" s="117">
        <v>34.58</v>
      </c>
      <c r="R3" s="117">
        <v>35.01</v>
      </c>
      <c r="S3" s="117">
        <v>34.78</v>
      </c>
      <c r="T3" s="117">
        <v>0.01</v>
      </c>
      <c r="U3" s="117">
        <v>1.0200000000000001E-2</v>
      </c>
      <c r="V3" s="117">
        <v>9.7999999999999997E-3</v>
      </c>
      <c r="W3" s="117">
        <v>9.1999999999999998E-3</v>
      </c>
      <c r="X3" s="117">
        <v>0.23</v>
      </c>
      <c r="Y3" s="117" t="s">
        <v>65</v>
      </c>
      <c r="Z3" s="117" t="s">
        <v>245</v>
      </c>
    </row>
    <row r="4" spans="1:26" x14ac:dyDescent="0.25">
      <c r="B4" s="118"/>
      <c r="K4" s="119"/>
    </row>
    <row r="5" spans="1:26" x14ac:dyDescent="0.25">
      <c r="B5" s="118"/>
      <c r="K5" s="119"/>
    </row>
    <row r="6" spans="1:26" x14ac:dyDescent="0.25">
      <c r="B6" s="118"/>
      <c r="K6" s="119"/>
    </row>
    <row r="7" spans="1:26" x14ac:dyDescent="0.25">
      <c r="B7" s="118"/>
      <c r="K7" s="119"/>
    </row>
    <row r="8" spans="1:26" x14ac:dyDescent="0.25">
      <c r="B8" s="118"/>
      <c r="K8" s="119"/>
    </row>
    <row r="9" spans="1:26" x14ac:dyDescent="0.25">
      <c r="B9" s="118"/>
      <c r="K9" s="119"/>
    </row>
    <row r="10" spans="1:26" x14ac:dyDescent="0.25">
      <c r="B10" s="118"/>
      <c r="K10" s="119"/>
    </row>
    <row r="11" spans="1:26" x14ac:dyDescent="0.25">
      <c r="B11" s="118"/>
      <c r="K11" s="119"/>
    </row>
    <row r="12" spans="1:26" x14ac:dyDescent="0.25">
      <c r="B12" s="118"/>
      <c r="K12" s="119"/>
    </row>
    <row r="13" spans="1:26" x14ac:dyDescent="0.25">
      <c r="B13" s="118"/>
      <c r="K13" s="119"/>
    </row>
    <row r="14" spans="1:26" x14ac:dyDescent="0.25">
      <c r="B14" s="118"/>
      <c r="K14" s="119"/>
    </row>
    <row r="15" spans="1:26" x14ac:dyDescent="0.25">
      <c r="B15" s="118"/>
      <c r="K15" s="119"/>
    </row>
    <row r="16" spans="1:26" x14ac:dyDescent="0.25">
      <c r="B16" s="118"/>
      <c r="K16" s="119"/>
    </row>
    <row r="17" spans="2:11" x14ac:dyDescent="0.25">
      <c r="B17" s="118"/>
      <c r="K17" s="119"/>
    </row>
    <row r="18" spans="2:11" x14ac:dyDescent="0.25">
      <c r="B18" s="118"/>
      <c r="K18" s="119"/>
    </row>
    <row r="19" spans="2:11" x14ac:dyDescent="0.25">
      <c r="B19" s="118"/>
      <c r="K19" s="119"/>
    </row>
    <row r="20" spans="2:11" x14ac:dyDescent="0.25">
      <c r="B20" s="118"/>
      <c r="K20" s="119"/>
    </row>
    <row r="21" spans="2:11" x14ac:dyDescent="0.25">
      <c r="B21" s="118"/>
      <c r="K21" s="119"/>
    </row>
    <row r="22" spans="2:11" x14ac:dyDescent="0.25">
      <c r="B22" s="118"/>
      <c r="K22" s="119"/>
    </row>
    <row r="23" spans="2:11" x14ac:dyDescent="0.25">
      <c r="B23" s="118"/>
      <c r="K23" s="119"/>
    </row>
    <row r="24" spans="2:11" x14ac:dyDescent="0.25">
      <c r="B24" s="118"/>
      <c r="K24" s="119"/>
    </row>
    <row r="25" spans="2:11" x14ac:dyDescent="0.25">
      <c r="B25" s="118"/>
      <c r="K25" s="119"/>
    </row>
    <row r="26" spans="2:11" x14ac:dyDescent="0.25">
      <c r="B26" s="118"/>
      <c r="K26" s="119"/>
    </row>
    <row r="37" spans="39:53" x14ac:dyDescent="0.25">
      <c r="AU37" s="117">
        <v>0</v>
      </c>
    </row>
    <row r="41" spans="39:53" x14ac:dyDescent="0.25">
      <c r="AM41" s="120"/>
      <c r="AO41" s="120"/>
      <c r="AQ41" s="120"/>
      <c r="AW41" s="120"/>
      <c r="AY41" s="120"/>
      <c r="BA41" s="120"/>
    </row>
    <row r="46" spans="39:53" x14ac:dyDescent="0.25">
      <c r="AM46" s="120"/>
      <c r="AO46" s="120"/>
      <c r="AQ46" s="120"/>
      <c r="AW46" s="120"/>
      <c r="AY46" s="120"/>
      <c r="BA46" s="120"/>
    </row>
    <row r="51" spans="39:53" x14ac:dyDescent="0.25">
      <c r="AM51" s="120"/>
      <c r="AO51" s="120"/>
      <c r="AQ51" s="120"/>
      <c r="AW51" s="120"/>
      <c r="AY51" s="120"/>
      <c r="BA51" s="120"/>
    </row>
    <row r="56" spans="39:53" x14ac:dyDescent="0.25">
      <c r="AM56" s="120"/>
      <c r="AO56" s="120"/>
      <c r="AQ56" s="120"/>
      <c r="AW56" s="120"/>
      <c r="AY56" s="120"/>
      <c r="BA56" s="120"/>
    </row>
    <row r="61" spans="39:53" x14ac:dyDescent="0.25">
      <c r="AM61" s="120"/>
      <c r="AO61" s="120"/>
      <c r="AQ61" s="120"/>
      <c r="AW61" s="120"/>
      <c r="AY61" s="120"/>
      <c r="BA61" s="120"/>
    </row>
    <row r="66" spans="39:53" x14ac:dyDescent="0.25">
      <c r="AM66" s="120"/>
      <c r="AO66" s="120"/>
      <c r="AQ66" s="120"/>
      <c r="AW66" s="120"/>
      <c r="AY66" s="120"/>
      <c r="BA66" s="120"/>
    </row>
  </sheetData>
  <conditionalFormatting sqref="A2:XFD1048576">
    <cfRule type="expression" dxfId="29" priority="2">
      <formula>AND(ISEVEN(ROW()),COUNTA($A2)&gt;0)</formula>
    </cfRule>
  </conditionalFormatting>
  <conditionalFormatting sqref="A1:XFD1">
    <cfRule type="expression" dxfId="28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20"/>
  <sheetViews>
    <sheetView workbookViewId="0">
      <selection activeCell="G30" sqref="G30"/>
    </sheetView>
  </sheetViews>
  <sheetFormatPr baseColWidth="10" defaultColWidth="14.7109375" defaultRowHeight="15" x14ac:dyDescent="0.25"/>
  <cols>
    <col min="1" max="1" width="7.7109375" style="117" bestFit="1" customWidth="1"/>
    <col min="2" max="2" width="5" style="117" bestFit="1" customWidth="1"/>
    <col min="3" max="3" width="8.140625" style="117" bestFit="1" customWidth="1"/>
    <col min="4" max="4" width="28.42578125" style="117" bestFit="1" customWidth="1"/>
    <col min="5" max="5" width="15.85546875" style="117" bestFit="1" customWidth="1"/>
    <col min="6" max="6" width="10.28515625" style="117" bestFit="1" customWidth="1"/>
    <col min="7" max="7" width="10.42578125" style="117" bestFit="1" customWidth="1"/>
    <col min="8" max="8" width="6" style="117" bestFit="1" customWidth="1"/>
    <col min="9" max="9" width="9.140625" style="117" bestFit="1" customWidth="1"/>
    <col min="10" max="10" width="10" style="117" bestFit="1" customWidth="1"/>
    <col min="11" max="11" width="15.5703125" style="117" bestFit="1" customWidth="1"/>
    <col min="12" max="12" width="21.7109375" style="117" bestFit="1" customWidth="1"/>
    <col min="13" max="14" width="5.42578125" style="117" bestFit="1" customWidth="1"/>
    <col min="15" max="16" width="12.28515625" style="117" bestFit="1" customWidth="1"/>
    <col min="17" max="17" width="9.5703125" style="117" bestFit="1" customWidth="1"/>
    <col min="18" max="18" width="16.85546875" style="117" bestFit="1" customWidth="1"/>
    <col min="19" max="19" width="18.28515625" style="117" bestFit="1" customWidth="1"/>
    <col min="20" max="21" width="55.5703125" style="117" bestFit="1" customWidth="1"/>
    <col min="22" max="25" width="56.5703125" style="117" bestFit="1" customWidth="1"/>
    <col min="26" max="26" width="9.85546875" style="117" customWidth="1"/>
    <col min="27" max="28" width="8.85546875" style="117" bestFit="1" customWidth="1"/>
    <col min="29" max="16384" width="14.7109375" style="117"/>
  </cols>
  <sheetData>
    <row r="1" spans="1:28" s="116" customFormat="1" x14ac:dyDescent="0.25">
      <c r="A1" s="116" t="s">
        <v>91</v>
      </c>
      <c r="B1" s="116" t="s">
        <v>92</v>
      </c>
      <c r="C1" s="116" t="s">
        <v>93</v>
      </c>
      <c r="D1" s="116" t="s">
        <v>14</v>
      </c>
      <c r="E1" s="116" t="s">
        <v>94</v>
      </c>
      <c r="F1" s="116" t="s">
        <v>95</v>
      </c>
      <c r="G1" s="116" t="s">
        <v>96</v>
      </c>
      <c r="H1" s="116" t="s">
        <v>97</v>
      </c>
      <c r="I1" s="116" t="s">
        <v>34</v>
      </c>
      <c r="J1" s="116" t="s">
        <v>98</v>
      </c>
      <c r="K1" s="116" t="s">
        <v>99</v>
      </c>
      <c r="L1" s="116" t="s">
        <v>100</v>
      </c>
      <c r="M1" s="116" t="s">
        <v>101</v>
      </c>
      <c r="N1" s="116" t="s">
        <v>102</v>
      </c>
      <c r="O1" s="116" t="s">
        <v>103</v>
      </c>
      <c r="P1" s="116" t="s">
        <v>104</v>
      </c>
      <c r="Q1" s="116" t="s">
        <v>6</v>
      </c>
      <c r="R1" s="116" t="s">
        <v>105</v>
      </c>
      <c r="S1" s="116" t="s">
        <v>106</v>
      </c>
      <c r="T1" s="116" t="s">
        <v>107</v>
      </c>
      <c r="U1" s="116" t="s">
        <v>108</v>
      </c>
      <c r="V1" s="116" t="s">
        <v>109</v>
      </c>
      <c r="W1" s="116" t="s">
        <v>110</v>
      </c>
      <c r="X1" s="116" t="s">
        <v>111</v>
      </c>
      <c r="Y1" s="116" t="s">
        <v>112</v>
      </c>
      <c r="Z1" s="116" t="s">
        <v>113</v>
      </c>
      <c r="AA1" s="116" t="s">
        <v>114</v>
      </c>
      <c r="AB1" s="116" t="s">
        <v>115</v>
      </c>
    </row>
    <row r="2" spans="1:28" x14ac:dyDescent="0.25">
      <c r="A2" s="117" t="s">
        <v>244</v>
      </c>
      <c r="B2" s="117">
        <v>4321</v>
      </c>
      <c r="C2" s="117">
        <v>23</v>
      </c>
      <c r="D2" s="117" t="s">
        <v>231</v>
      </c>
      <c r="E2" s="117" t="s">
        <v>63</v>
      </c>
      <c r="F2" s="117">
        <v>911</v>
      </c>
      <c r="G2" s="117">
        <v>3456</v>
      </c>
      <c r="H2" s="117">
        <v>2545</v>
      </c>
      <c r="I2" s="117">
        <v>32</v>
      </c>
      <c r="J2" s="117">
        <v>79.53125</v>
      </c>
      <c r="K2" s="119">
        <v>45819.955706018518</v>
      </c>
      <c r="R2" s="117">
        <v>5.8994444444444438</v>
      </c>
      <c r="S2" s="117">
        <v>6.02</v>
      </c>
      <c r="T2" s="117" t="s">
        <v>220</v>
      </c>
      <c r="U2" s="117" t="s">
        <v>221</v>
      </c>
      <c r="V2" s="117" t="s">
        <v>222</v>
      </c>
      <c r="W2" s="117" t="s">
        <v>223</v>
      </c>
      <c r="X2" s="117" t="s">
        <v>224</v>
      </c>
      <c r="Y2" s="117" t="s">
        <v>225</v>
      </c>
    </row>
    <row r="3" spans="1:28" x14ac:dyDescent="0.25">
      <c r="A3" s="117" t="s">
        <v>245</v>
      </c>
      <c r="B3" s="117">
        <v>4321</v>
      </c>
      <c r="C3" s="117">
        <v>24</v>
      </c>
      <c r="D3" s="117" t="s">
        <v>228</v>
      </c>
      <c r="E3" s="117" t="s">
        <v>63</v>
      </c>
      <c r="F3" s="117">
        <v>907</v>
      </c>
      <c r="G3" s="117">
        <v>3479</v>
      </c>
      <c r="H3" s="117">
        <v>2572</v>
      </c>
      <c r="I3" s="117">
        <v>32</v>
      </c>
      <c r="J3" s="117">
        <v>80.375</v>
      </c>
      <c r="K3" s="119">
        <v>45819.957638888889</v>
      </c>
      <c r="M3" s="117">
        <v>36.22</v>
      </c>
      <c r="N3" s="117">
        <v>34.79</v>
      </c>
      <c r="O3" s="117">
        <v>0.01</v>
      </c>
      <c r="P3" s="117">
        <v>9.1999999999999998E-3</v>
      </c>
      <c r="Q3" s="117">
        <v>0.23</v>
      </c>
      <c r="R3" s="117">
        <v>6.1533333333333324</v>
      </c>
      <c r="S3" s="117">
        <v>6.2133333333333338</v>
      </c>
      <c r="T3" s="117" t="s">
        <v>118</v>
      </c>
      <c r="U3" s="117" t="s">
        <v>119</v>
      </c>
      <c r="V3" s="117" t="s">
        <v>120</v>
      </c>
      <c r="W3" s="117" t="s">
        <v>121</v>
      </c>
      <c r="X3" s="117" t="s">
        <v>122</v>
      </c>
      <c r="Y3" s="117" t="s">
        <v>123</v>
      </c>
    </row>
    <row r="4" spans="1:28" x14ac:dyDescent="0.25">
      <c r="A4" s="117" t="s">
        <v>246</v>
      </c>
      <c r="B4" s="117">
        <v>4321</v>
      </c>
      <c r="C4" s="117">
        <v>25</v>
      </c>
      <c r="D4" s="117" t="s">
        <v>228</v>
      </c>
      <c r="E4" s="117" t="s">
        <v>63</v>
      </c>
      <c r="F4" s="117">
        <v>901</v>
      </c>
      <c r="G4" s="117">
        <v>3472</v>
      </c>
      <c r="H4" s="117">
        <v>2571</v>
      </c>
      <c r="I4" s="117">
        <v>32</v>
      </c>
      <c r="J4" s="117">
        <v>80.34375</v>
      </c>
      <c r="K4" s="119">
        <v>45819.95826388889</v>
      </c>
      <c r="R4" s="117">
        <v>5.865555555555555</v>
      </c>
      <c r="S4" s="117">
        <v>6.3405555555555555</v>
      </c>
      <c r="T4" s="117" t="s">
        <v>247</v>
      </c>
      <c r="U4" s="117" t="s">
        <v>248</v>
      </c>
      <c r="V4" s="117" t="s">
        <v>249</v>
      </c>
      <c r="W4" s="117" t="s">
        <v>250</v>
      </c>
      <c r="X4" s="117" t="s">
        <v>251</v>
      </c>
      <c r="Y4" s="117" t="s">
        <v>252</v>
      </c>
    </row>
    <row r="5" spans="1:28" x14ac:dyDescent="0.25">
      <c r="A5" s="117" t="s">
        <v>253</v>
      </c>
      <c r="B5" s="117">
        <v>4321</v>
      </c>
      <c r="C5" s="117">
        <v>26</v>
      </c>
      <c r="D5" s="117" t="s">
        <v>228</v>
      </c>
      <c r="E5" s="117" t="s">
        <v>63</v>
      </c>
      <c r="F5" s="117">
        <v>892</v>
      </c>
      <c r="G5" s="117">
        <v>3491</v>
      </c>
      <c r="H5" s="117">
        <v>2599</v>
      </c>
      <c r="I5" s="117">
        <v>32</v>
      </c>
      <c r="J5" s="117">
        <v>81.21875</v>
      </c>
      <c r="K5" s="119">
        <v>45819.958344907405</v>
      </c>
      <c r="R5" s="117">
        <v>6.2161111111111103</v>
      </c>
      <c r="S5" s="117">
        <v>5.8016666666666659</v>
      </c>
      <c r="T5" s="117" t="s">
        <v>232</v>
      </c>
      <c r="U5" s="117" t="s">
        <v>233</v>
      </c>
      <c r="V5" s="117" t="s">
        <v>234</v>
      </c>
      <c r="W5" s="117" t="s">
        <v>235</v>
      </c>
      <c r="X5" s="117" t="s">
        <v>236</v>
      </c>
      <c r="Y5" s="117" t="s">
        <v>237</v>
      </c>
    </row>
    <row r="6" spans="1:28" x14ac:dyDescent="0.25">
      <c r="A6" s="117" t="s">
        <v>254</v>
      </c>
      <c r="B6" s="117">
        <v>4321</v>
      </c>
      <c r="C6" s="117">
        <v>27</v>
      </c>
      <c r="D6" s="117" t="s">
        <v>228</v>
      </c>
      <c r="E6" s="117" t="s">
        <v>63</v>
      </c>
      <c r="F6" s="117">
        <v>908</v>
      </c>
      <c r="G6" s="117">
        <v>3499</v>
      </c>
      <c r="H6" s="117">
        <v>2591</v>
      </c>
      <c r="I6" s="117">
        <v>32</v>
      </c>
      <c r="J6" s="117">
        <v>80.96875</v>
      </c>
      <c r="K6" s="119">
        <v>45819.958611111113</v>
      </c>
      <c r="R6" s="117">
        <v>5.9894444444444437</v>
      </c>
      <c r="S6" s="117">
        <v>6.0438888888888904</v>
      </c>
      <c r="T6" s="117" t="s">
        <v>238</v>
      </c>
      <c r="U6" s="117" t="s">
        <v>239</v>
      </c>
      <c r="V6" s="117" t="s">
        <v>240</v>
      </c>
      <c r="W6" s="117" t="s">
        <v>241</v>
      </c>
      <c r="X6" s="117" t="s">
        <v>242</v>
      </c>
      <c r="Y6" s="117" t="s">
        <v>243</v>
      </c>
    </row>
    <row r="7" spans="1:28" x14ac:dyDescent="0.25">
      <c r="A7" s="117" t="s">
        <v>255</v>
      </c>
      <c r="B7" s="117">
        <v>4321</v>
      </c>
      <c r="C7" s="117">
        <v>28</v>
      </c>
      <c r="D7" s="117" t="s">
        <v>228</v>
      </c>
      <c r="E7" s="117" t="s">
        <v>63</v>
      </c>
      <c r="F7" s="117">
        <v>895</v>
      </c>
      <c r="G7" s="117">
        <v>3481</v>
      </c>
      <c r="H7" s="117">
        <v>2586</v>
      </c>
      <c r="I7" s="117">
        <v>32</v>
      </c>
      <c r="J7" s="117">
        <v>80.8125</v>
      </c>
      <c r="K7" s="119">
        <v>45819.95888888889</v>
      </c>
      <c r="R7" s="117">
        <v>5.7433333333333332</v>
      </c>
      <c r="S7" s="117">
        <v>5.9433333333333325</v>
      </c>
      <c r="T7" s="117" t="s">
        <v>256</v>
      </c>
      <c r="U7" s="117" t="s">
        <v>257</v>
      </c>
      <c r="V7" s="117" t="s">
        <v>258</v>
      </c>
      <c r="W7" s="117" t="s">
        <v>259</v>
      </c>
      <c r="X7" s="117" t="s">
        <v>260</v>
      </c>
      <c r="Y7" s="117" t="s">
        <v>261</v>
      </c>
    </row>
    <row r="8" spans="1:28" x14ac:dyDescent="0.25">
      <c r="A8" s="117" t="s">
        <v>262</v>
      </c>
      <c r="B8" s="117">
        <v>4321</v>
      </c>
      <c r="C8" s="117">
        <v>29</v>
      </c>
      <c r="D8" s="117" t="s">
        <v>229</v>
      </c>
      <c r="E8" s="117" t="s">
        <v>63</v>
      </c>
      <c r="F8" s="117">
        <v>893</v>
      </c>
      <c r="G8" s="117">
        <v>3537</v>
      </c>
      <c r="H8" s="117">
        <v>2644</v>
      </c>
      <c r="I8" s="117">
        <v>32</v>
      </c>
      <c r="J8" s="117">
        <v>82.625</v>
      </c>
      <c r="K8" s="119">
        <v>45819.963495370372</v>
      </c>
      <c r="M8" s="117">
        <v>35.880000000000003</v>
      </c>
      <c r="N8" s="117">
        <v>34.94</v>
      </c>
      <c r="O8" s="117">
        <v>1.0200000000000001E-2</v>
      </c>
      <c r="P8" s="117">
        <v>1.0500000000000001E-2</v>
      </c>
      <c r="Q8" s="117">
        <v>0.23</v>
      </c>
      <c r="R8" s="117">
        <v>5.8483333333333327</v>
      </c>
      <c r="S8" s="117">
        <v>6.1022222222222222</v>
      </c>
      <c r="T8" s="117" t="s">
        <v>263</v>
      </c>
      <c r="U8" s="117" t="s">
        <v>264</v>
      </c>
      <c r="V8" s="117" t="s">
        <v>265</v>
      </c>
      <c r="W8" s="117" t="s">
        <v>266</v>
      </c>
      <c r="X8" s="117" t="s">
        <v>267</v>
      </c>
      <c r="Y8" s="117" t="s">
        <v>268</v>
      </c>
    </row>
    <row r="9" spans="1:28" x14ac:dyDescent="0.25">
      <c r="A9" s="117" t="s">
        <v>271</v>
      </c>
      <c r="B9" s="117">
        <v>9999</v>
      </c>
      <c r="C9" s="117">
        <v>30</v>
      </c>
      <c r="D9" s="117" t="s">
        <v>229</v>
      </c>
      <c r="E9" s="117" t="s">
        <v>272</v>
      </c>
      <c r="F9" s="117">
        <v>908</v>
      </c>
      <c r="G9" s="117">
        <v>3504</v>
      </c>
      <c r="H9" s="117">
        <v>2596</v>
      </c>
      <c r="I9" s="117">
        <v>32</v>
      </c>
      <c r="J9" s="117">
        <v>81.125</v>
      </c>
      <c r="K9" s="119">
        <v>45820.736134259256</v>
      </c>
      <c r="L9" s="117" t="s">
        <v>270</v>
      </c>
      <c r="M9" s="117">
        <v>35.17</v>
      </c>
      <c r="N9" s="117">
        <v>35.200000000000003</v>
      </c>
      <c r="O9" s="117">
        <v>8.9999999999999993E-3</v>
      </c>
      <c r="P9" s="117">
        <v>1.11E-2</v>
      </c>
      <c r="Q9" s="117">
        <v>0.23</v>
      </c>
      <c r="R9" s="117">
        <v>6.1561111111111106</v>
      </c>
      <c r="S9" s="117">
        <v>6.1211111111111105</v>
      </c>
      <c r="T9" s="117" t="s">
        <v>273</v>
      </c>
      <c r="U9" s="117" t="s">
        <v>274</v>
      </c>
      <c r="V9" s="117" t="s">
        <v>275</v>
      </c>
      <c r="W9" s="117" t="s">
        <v>276</v>
      </c>
      <c r="X9" s="117" t="s">
        <v>277</v>
      </c>
      <c r="Y9" s="117" t="s">
        <v>278</v>
      </c>
    </row>
    <row r="10" spans="1:28" x14ac:dyDescent="0.25">
      <c r="A10" s="117" t="s">
        <v>269</v>
      </c>
      <c r="B10" s="117">
        <v>4321</v>
      </c>
      <c r="C10" s="117">
        <v>30</v>
      </c>
      <c r="D10" s="117" t="s">
        <v>229</v>
      </c>
      <c r="E10" s="117" t="s">
        <v>63</v>
      </c>
      <c r="F10" s="117">
        <v>889</v>
      </c>
      <c r="G10" s="117">
        <v>3529</v>
      </c>
      <c r="H10" s="117">
        <v>2640</v>
      </c>
      <c r="I10" s="117">
        <v>32</v>
      </c>
      <c r="J10" s="117">
        <v>82.5</v>
      </c>
      <c r="K10" s="119">
        <v>45820.736747685187</v>
      </c>
      <c r="M10" s="117">
        <v>35.17</v>
      </c>
      <c r="N10" s="117">
        <v>35.200000000000003</v>
      </c>
      <c r="O10" s="117">
        <v>8.9999999999999993E-3</v>
      </c>
      <c r="P10" s="117">
        <v>1.11E-2</v>
      </c>
      <c r="Q10" s="117">
        <v>0.23</v>
      </c>
      <c r="R10" s="117">
        <v>5.7772222222222238</v>
      </c>
      <c r="S10" s="117">
        <v>5.823888888888888</v>
      </c>
      <c r="T10" s="117" t="s">
        <v>279</v>
      </c>
      <c r="U10" s="117" t="s">
        <v>280</v>
      </c>
      <c r="V10" s="117" t="s">
        <v>281</v>
      </c>
      <c r="W10" s="117" t="s">
        <v>282</v>
      </c>
      <c r="X10" s="117" t="s">
        <v>283</v>
      </c>
      <c r="Y10" s="117" t="s">
        <v>284</v>
      </c>
    </row>
    <row r="11" spans="1:28" x14ac:dyDescent="0.25">
      <c r="K11" s="119"/>
    </row>
    <row r="12" spans="1:28" x14ac:dyDescent="0.25">
      <c r="K12" s="119"/>
    </row>
    <row r="13" spans="1:28" x14ac:dyDescent="0.25">
      <c r="K13" s="119"/>
    </row>
    <row r="14" spans="1:28" x14ac:dyDescent="0.25">
      <c r="K14" s="119"/>
    </row>
    <row r="15" spans="1:28" x14ac:dyDescent="0.25">
      <c r="K15" s="119"/>
    </row>
    <row r="16" spans="1:28" x14ac:dyDescent="0.25">
      <c r="K16" s="119"/>
    </row>
    <row r="17" spans="11:11" x14ac:dyDescent="0.25">
      <c r="K17" s="119"/>
    </row>
    <row r="18" spans="11:11" x14ac:dyDescent="0.25">
      <c r="K18" s="119"/>
    </row>
    <row r="19" spans="11:11" x14ac:dyDescent="0.25">
      <c r="K19" s="119"/>
    </row>
    <row r="20" spans="11:11" x14ac:dyDescent="0.25">
      <c r="K20" s="119"/>
    </row>
  </sheetData>
  <conditionalFormatting sqref="A1:XFD1048576">
    <cfRule type="expression" dxfId="27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9A8-8F67-4B92-9EBD-0C8A83305F16}">
  <sheetPr codeName="Feuil4"/>
  <dimension ref="A1:R56"/>
  <sheetViews>
    <sheetView topLeftCell="A28" workbookViewId="0">
      <selection sqref="A1:XFD1"/>
    </sheetView>
  </sheetViews>
  <sheetFormatPr baseColWidth="10" defaultRowHeight="15" x14ac:dyDescent="0.25"/>
  <cols>
    <col min="1" max="1" width="14.42578125" style="117" bestFit="1" customWidth="1"/>
    <col min="2" max="2" width="32.85546875" style="117" bestFit="1" customWidth="1"/>
    <col min="3" max="17" width="11.42578125" style="117"/>
    <col min="18" max="18" width="15.42578125" style="117" bestFit="1" customWidth="1"/>
    <col min="19" max="16384" width="11.42578125" style="117"/>
  </cols>
  <sheetData>
    <row r="1" spans="1:18" s="116" customFormat="1" x14ac:dyDescent="0.25">
      <c r="A1" s="116" t="s">
        <v>89</v>
      </c>
      <c r="B1" s="116" t="s">
        <v>72</v>
      </c>
      <c r="C1" s="116" t="s">
        <v>73</v>
      </c>
      <c r="D1" s="116" t="s">
        <v>74</v>
      </c>
      <c r="E1" s="116" t="s">
        <v>75</v>
      </c>
      <c r="F1" s="116" t="s">
        <v>76</v>
      </c>
      <c r="G1" s="116" t="s">
        <v>77</v>
      </c>
      <c r="H1" s="116" t="s">
        <v>78</v>
      </c>
      <c r="I1" s="116" t="s">
        <v>79</v>
      </c>
      <c r="J1" s="116" t="s">
        <v>80</v>
      </c>
      <c r="K1" s="116" t="s">
        <v>81</v>
      </c>
      <c r="L1" s="116" t="s">
        <v>82</v>
      </c>
      <c r="M1" s="116" t="s">
        <v>83</v>
      </c>
      <c r="N1" s="116" t="s">
        <v>84</v>
      </c>
      <c r="O1" s="116" t="s">
        <v>85</v>
      </c>
      <c r="P1" s="116" t="s">
        <v>86</v>
      </c>
      <c r="Q1" s="116" t="s">
        <v>87</v>
      </c>
      <c r="R1" s="116" t="s">
        <v>88</v>
      </c>
    </row>
    <row r="2" spans="1:18" x14ac:dyDescent="0.25">
      <c r="A2" s="117" t="s">
        <v>116</v>
      </c>
      <c r="B2" s="117" t="s">
        <v>117</v>
      </c>
      <c r="C2" s="117">
        <v>0</v>
      </c>
      <c r="D2" s="117">
        <v>0</v>
      </c>
      <c r="P2" s="117" t="s">
        <v>65</v>
      </c>
      <c r="Q2" s="117" t="s">
        <v>124</v>
      </c>
      <c r="R2" s="119">
        <v>45816.897662037038</v>
      </c>
    </row>
    <row r="3" spans="1:18" x14ac:dyDescent="0.25">
      <c r="A3" s="117" t="s">
        <v>116</v>
      </c>
      <c r="B3" s="117" t="s">
        <v>117</v>
      </c>
      <c r="C3" s="117">
        <v>0</v>
      </c>
      <c r="D3" s="117">
        <v>0</v>
      </c>
      <c r="P3" s="117" t="s">
        <v>65</v>
      </c>
      <c r="Q3" s="117" t="s">
        <v>125</v>
      </c>
      <c r="R3" s="119">
        <v>45816.897905092592</v>
      </c>
    </row>
    <row r="4" spans="1:18" x14ac:dyDescent="0.25">
      <c r="A4" s="117" t="s">
        <v>127</v>
      </c>
      <c r="B4" s="117" t="s">
        <v>126</v>
      </c>
      <c r="C4" s="117">
        <v>32</v>
      </c>
      <c r="D4" s="117">
        <v>28.33</v>
      </c>
      <c r="E4" s="117">
        <v>32</v>
      </c>
      <c r="F4" s="117">
        <v>32</v>
      </c>
      <c r="G4" s="117">
        <v>32</v>
      </c>
      <c r="H4" s="117">
        <v>21</v>
      </c>
      <c r="I4" s="117">
        <v>32</v>
      </c>
      <c r="J4" s="117">
        <v>32</v>
      </c>
      <c r="K4" s="117">
        <v>1.01E-2</v>
      </c>
      <c r="L4" s="117">
        <v>1.12E-2</v>
      </c>
      <c r="M4" s="117">
        <v>1.12E-2</v>
      </c>
      <c r="N4" s="117">
        <v>1.01E-2</v>
      </c>
      <c r="O4" s="117">
        <v>0.32</v>
      </c>
      <c r="P4" s="117" t="s">
        <v>65</v>
      </c>
      <c r="Q4" s="117" t="s">
        <v>128</v>
      </c>
      <c r="R4" s="119">
        <v>45817.520324074074</v>
      </c>
    </row>
    <row r="5" spans="1:18" x14ac:dyDescent="0.25">
      <c r="A5" s="117" t="s">
        <v>128</v>
      </c>
      <c r="B5" s="117" t="s">
        <v>129</v>
      </c>
      <c r="C5" s="117">
        <v>32</v>
      </c>
      <c r="D5" s="117">
        <v>32</v>
      </c>
      <c r="E5" s="117">
        <v>32</v>
      </c>
      <c r="F5" s="117">
        <v>32</v>
      </c>
      <c r="G5" s="117">
        <v>32</v>
      </c>
      <c r="H5" s="117">
        <v>32</v>
      </c>
      <c r="I5" s="117">
        <v>32</v>
      </c>
      <c r="J5" s="117">
        <v>32</v>
      </c>
      <c r="K5" s="117">
        <v>0.01</v>
      </c>
      <c r="L5" s="117">
        <v>0.01</v>
      </c>
      <c r="M5" s="117">
        <v>0.01</v>
      </c>
      <c r="N5" s="117">
        <v>0.01</v>
      </c>
      <c r="O5" s="117">
        <v>0.32</v>
      </c>
      <c r="P5" s="117" t="s">
        <v>65</v>
      </c>
      <c r="Q5" s="117" t="s">
        <v>154</v>
      </c>
      <c r="R5" s="119">
        <v>45817.526435185187</v>
      </c>
    </row>
    <row r="6" spans="1:18" x14ac:dyDescent="0.25">
      <c r="A6" s="117" t="s">
        <v>128</v>
      </c>
      <c r="B6" s="117" t="s">
        <v>129</v>
      </c>
      <c r="C6" s="117">
        <v>32</v>
      </c>
      <c r="D6" s="117">
        <v>32</v>
      </c>
      <c r="E6" s="117">
        <v>32</v>
      </c>
      <c r="F6" s="117">
        <v>32</v>
      </c>
      <c r="G6" s="117">
        <v>32</v>
      </c>
      <c r="H6" s="117">
        <v>32</v>
      </c>
      <c r="I6" s="117">
        <v>32</v>
      </c>
      <c r="J6" s="117">
        <v>32</v>
      </c>
      <c r="K6" s="117">
        <v>0.01</v>
      </c>
      <c r="L6" s="117">
        <v>0.01</v>
      </c>
      <c r="M6" s="117">
        <v>0.01</v>
      </c>
      <c r="N6" s="117">
        <v>0.01</v>
      </c>
      <c r="O6" s="117">
        <v>0.32</v>
      </c>
      <c r="P6" s="117" t="s">
        <v>65</v>
      </c>
      <c r="Q6" s="117" t="s">
        <v>155</v>
      </c>
      <c r="R6" s="119">
        <v>45817.527002314811</v>
      </c>
    </row>
    <row r="7" spans="1:18" x14ac:dyDescent="0.25">
      <c r="A7" s="117" t="s">
        <v>155</v>
      </c>
      <c r="B7" s="117" t="s">
        <v>156</v>
      </c>
      <c r="C7" s="117">
        <v>0</v>
      </c>
      <c r="D7" s="117">
        <v>0</v>
      </c>
      <c r="Q7" s="117" t="s">
        <v>157</v>
      </c>
      <c r="R7" s="119">
        <v>45817.540763888886</v>
      </c>
    </row>
    <row r="8" spans="1:18" x14ac:dyDescent="0.25">
      <c r="A8" s="117" t="s">
        <v>155</v>
      </c>
      <c r="B8" s="117" t="s">
        <v>156</v>
      </c>
      <c r="C8" s="117">
        <v>0</v>
      </c>
      <c r="D8" s="117">
        <v>0</v>
      </c>
      <c r="Q8" s="117" t="s">
        <v>158</v>
      </c>
      <c r="R8" s="119">
        <v>45817.543229166666</v>
      </c>
    </row>
    <row r="9" spans="1:18" x14ac:dyDescent="0.25">
      <c r="A9" s="117" t="s">
        <v>158</v>
      </c>
      <c r="B9" s="117" t="s">
        <v>156</v>
      </c>
      <c r="C9" s="117">
        <v>34.71</v>
      </c>
      <c r="D9" s="117">
        <v>33.549999999999997</v>
      </c>
      <c r="E9" s="117">
        <v>34.340000000000003</v>
      </c>
      <c r="F9" s="117">
        <v>34.94</v>
      </c>
      <c r="G9" s="117">
        <v>34.85</v>
      </c>
      <c r="H9" s="117">
        <v>34.19</v>
      </c>
      <c r="I9" s="117">
        <v>32.93</v>
      </c>
      <c r="J9" s="117">
        <v>33.54</v>
      </c>
      <c r="K9" s="117">
        <v>1.0800000000000001E-2</v>
      </c>
      <c r="L9" s="117">
        <v>1.06E-2</v>
      </c>
      <c r="M9" s="117">
        <v>9.4999999999999998E-3</v>
      </c>
      <c r="N9" s="117">
        <v>1.17E-2</v>
      </c>
      <c r="O9" s="117">
        <v>0.25</v>
      </c>
      <c r="P9" s="117" t="s">
        <v>65</v>
      </c>
      <c r="Q9" s="117" t="s">
        <v>159</v>
      </c>
      <c r="R9" s="119">
        <v>45817.547939814816</v>
      </c>
    </row>
    <row r="10" spans="1:18" x14ac:dyDescent="0.25">
      <c r="A10" s="117" t="s">
        <v>159</v>
      </c>
      <c r="B10" s="117" t="s">
        <v>156</v>
      </c>
      <c r="C10" s="117">
        <v>36.119999999999997</v>
      </c>
      <c r="D10" s="117">
        <v>35.409999999999997</v>
      </c>
      <c r="E10" s="117">
        <v>35.76</v>
      </c>
      <c r="F10" s="117">
        <v>36.97</v>
      </c>
      <c r="G10" s="117">
        <v>35.64</v>
      </c>
      <c r="H10" s="117">
        <v>37.78</v>
      </c>
      <c r="I10" s="117">
        <v>35.32</v>
      </c>
      <c r="J10" s="117">
        <v>33.14</v>
      </c>
      <c r="K10" s="117">
        <v>1.1599999999999999E-2</v>
      </c>
      <c r="L10" s="117">
        <v>9.9000000000000008E-3</v>
      </c>
      <c r="M10" s="117">
        <v>1.0699999999999999E-2</v>
      </c>
      <c r="N10" s="117">
        <v>1.0699999999999999E-2</v>
      </c>
      <c r="O10" s="117">
        <v>0.26</v>
      </c>
      <c r="P10" s="117" t="s">
        <v>65</v>
      </c>
      <c r="Q10" s="117" t="s">
        <v>160</v>
      </c>
      <c r="R10" s="119">
        <v>45817.554918981485</v>
      </c>
    </row>
    <row r="11" spans="1:18" x14ac:dyDescent="0.25">
      <c r="A11" s="117" t="s">
        <v>160</v>
      </c>
      <c r="B11" s="117" t="s">
        <v>156</v>
      </c>
      <c r="C11" s="117">
        <v>35.78</v>
      </c>
      <c r="D11" s="117">
        <v>36.07</v>
      </c>
      <c r="E11" s="117">
        <v>35</v>
      </c>
      <c r="F11" s="117">
        <v>35.43</v>
      </c>
      <c r="G11" s="117">
        <v>36.92</v>
      </c>
      <c r="H11" s="117">
        <v>37.31</v>
      </c>
      <c r="I11" s="117">
        <v>34.53</v>
      </c>
      <c r="J11" s="117">
        <v>36.36</v>
      </c>
      <c r="K11" s="117">
        <v>1.1599999999999999E-2</v>
      </c>
      <c r="L11" s="117">
        <v>9.4000000000000004E-3</v>
      </c>
      <c r="M11" s="117">
        <v>1.12E-2</v>
      </c>
      <c r="N11" s="117">
        <v>1.09E-2</v>
      </c>
      <c r="O11" s="117">
        <v>0.26</v>
      </c>
      <c r="P11" s="117" t="s">
        <v>65</v>
      </c>
      <c r="Q11" s="117" t="s">
        <v>161</v>
      </c>
      <c r="R11" s="119">
        <v>45817.556886574072</v>
      </c>
    </row>
    <row r="12" spans="1:18" x14ac:dyDescent="0.25">
      <c r="A12" s="117" t="s">
        <v>160</v>
      </c>
      <c r="B12" s="117" t="s">
        <v>156</v>
      </c>
      <c r="C12" s="117">
        <v>35.78</v>
      </c>
      <c r="D12" s="117">
        <v>36.07</v>
      </c>
      <c r="E12" s="117">
        <v>35</v>
      </c>
      <c r="F12" s="117">
        <v>35.43</v>
      </c>
      <c r="G12" s="117">
        <v>36.92</v>
      </c>
      <c r="H12" s="117">
        <v>37.31</v>
      </c>
      <c r="I12" s="117">
        <v>34.53</v>
      </c>
      <c r="J12" s="117">
        <v>36.36</v>
      </c>
      <c r="K12" s="117">
        <v>1.1599999999999999E-2</v>
      </c>
      <c r="L12" s="117">
        <v>9.4000000000000004E-3</v>
      </c>
      <c r="M12" s="117">
        <v>1.12E-2</v>
      </c>
      <c r="N12" s="117">
        <v>1.09E-2</v>
      </c>
      <c r="O12" s="117">
        <v>0.26</v>
      </c>
      <c r="P12" s="117" t="s">
        <v>65</v>
      </c>
      <c r="Q12" s="117" t="s">
        <v>162</v>
      </c>
      <c r="R12" s="119">
        <v>45817.557083333333</v>
      </c>
    </row>
    <row r="13" spans="1:18" x14ac:dyDescent="0.25">
      <c r="A13" s="117" t="s">
        <v>162</v>
      </c>
      <c r="B13" s="117" t="s">
        <v>129</v>
      </c>
      <c r="C13" s="117">
        <v>36.33</v>
      </c>
      <c r="D13" s="117">
        <v>36.22</v>
      </c>
      <c r="E13" s="117">
        <v>34.479999999999997</v>
      </c>
      <c r="F13" s="117">
        <v>36.74</v>
      </c>
      <c r="G13" s="117">
        <v>37.770000000000003</v>
      </c>
      <c r="H13" s="117">
        <v>37.18</v>
      </c>
      <c r="I13" s="117">
        <v>34.24</v>
      </c>
      <c r="J13" s="117">
        <v>37.229999999999997</v>
      </c>
      <c r="K13" s="117">
        <v>9.1999999999999998E-3</v>
      </c>
      <c r="L13" s="117">
        <v>1.18E-2</v>
      </c>
      <c r="M13" s="117">
        <v>1.01E-2</v>
      </c>
      <c r="N13" s="117">
        <v>1.0500000000000001E-2</v>
      </c>
      <c r="O13" s="117">
        <v>0.26</v>
      </c>
      <c r="P13" s="117" t="s">
        <v>65</v>
      </c>
      <c r="Q13" s="117" t="s">
        <v>163</v>
      </c>
      <c r="R13" s="119">
        <v>45817.564351851855</v>
      </c>
    </row>
    <row r="14" spans="1:18" x14ac:dyDescent="0.25">
      <c r="A14" s="117" t="s">
        <v>163</v>
      </c>
      <c r="B14" s="117" t="s">
        <v>183</v>
      </c>
      <c r="C14" s="117">
        <v>35.89</v>
      </c>
      <c r="D14" s="117">
        <v>33.130000000000003</v>
      </c>
      <c r="E14" s="117">
        <v>37.11</v>
      </c>
      <c r="F14" s="117">
        <v>36.770000000000003</v>
      </c>
      <c r="G14" s="117">
        <v>33.799999999999997</v>
      </c>
      <c r="H14" s="117">
        <v>33.909999999999997</v>
      </c>
      <c r="I14" s="117">
        <v>33.049999999999997</v>
      </c>
      <c r="J14" s="117">
        <v>32.44</v>
      </c>
      <c r="K14" s="117">
        <v>1.04E-2</v>
      </c>
      <c r="L14" s="117">
        <v>1.03E-2</v>
      </c>
      <c r="M14" s="117">
        <v>1.0699999999999999E-2</v>
      </c>
      <c r="N14" s="117">
        <v>9.1000000000000004E-3</v>
      </c>
      <c r="O14" s="117">
        <v>0.24</v>
      </c>
      <c r="P14" s="117" t="s">
        <v>65</v>
      </c>
      <c r="Q14" s="117" t="s">
        <v>184</v>
      </c>
      <c r="R14" s="119">
        <v>45817.650694444441</v>
      </c>
    </row>
    <row r="15" spans="1:18" x14ac:dyDescent="0.25">
      <c r="A15" s="117" t="s">
        <v>163</v>
      </c>
      <c r="B15" s="117" t="s">
        <v>183</v>
      </c>
      <c r="C15" s="117">
        <v>35.89</v>
      </c>
      <c r="D15" s="117">
        <v>33.130000000000003</v>
      </c>
      <c r="E15" s="117">
        <v>37.11</v>
      </c>
      <c r="F15" s="117">
        <v>36.770000000000003</v>
      </c>
      <c r="G15" s="117">
        <v>33.799999999999997</v>
      </c>
      <c r="H15" s="117">
        <v>33.909999999999997</v>
      </c>
      <c r="I15" s="117">
        <v>33.049999999999997</v>
      </c>
      <c r="J15" s="117">
        <v>32.44</v>
      </c>
      <c r="K15" s="117">
        <v>1.04E-2</v>
      </c>
      <c r="L15" s="117">
        <v>1.03E-2</v>
      </c>
      <c r="M15" s="117">
        <v>1.0699999999999999E-2</v>
      </c>
      <c r="N15" s="117">
        <v>9.1000000000000004E-3</v>
      </c>
      <c r="O15" s="117">
        <v>0.24</v>
      </c>
      <c r="P15" s="117" t="s">
        <v>65</v>
      </c>
      <c r="Q15" s="117" t="s">
        <v>185</v>
      </c>
      <c r="R15" s="119">
        <v>45817.650937500002</v>
      </c>
    </row>
    <row r="16" spans="1:18" x14ac:dyDescent="0.25">
      <c r="A16" s="117" t="s">
        <v>163</v>
      </c>
      <c r="B16" s="117" t="s">
        <v>183</v>
      </c>
      <c r="C16" s="117">
        <v>35.89</v>
      </c>
      <c r="D16" s="117">
        <v>33.130000000000003</v>
      </c>
      <c r="E16" s="117">
        <v>37.11</v>
      </c>
      <c r="F16" s="117">
        <v>36.770000000000003</v>
      </c>
      <c r="G16" s="117">
        <v>33.799999999999997</v>
      </c>
      <c r="H16" s="117">
        <v>33.909999999999997</v>
      </c>
      <c r="I16" s="117">
        <v>33.049999999999997</v>
      </c>
      <c r="J16" s="117">
        <v>32.44</v>
      </c>
      <c r="K16" s="117">
        <v>1.04E-2</v>
      </c>
      <c r="L16" s="117">
        <v>1.03E-2</v>
      </c>
      <c r="M16" s="117">
        <v>1.0699999999999999E-2</v>
      </c>
      <c r="N16" s="117">
        <v>9.1000000000000004E-3</v>
      </c>
      <c r="O16" s="117">
        <v>0.24</v>
      </c>
      <c r="P16" s="117" t="s">
        <v>65</v>
      </c>
      <c r="Q16" s="117" t="s">
        <v>186</v>
      </c>
      <c r="R16" s="119">
        <v>45817.651180555556</v>
      </c>
    </row>
    <row r="17" spans="1:18" x14ac:dyDescent="0.25">
      <c r="A17" s="117" t="s">
        <v>163</v>
      </c>
      <c r="B17" s="117" t="s">
        <v>183</v>
      </c>
      <c r="C17" s="117">
        <v>35.89</v>
      </c>
      <c r="D17" s="117">
        <v>33.130000000000003</v>
      </c>
      <c r="E17" s="117">
        <v>37.11</v>
      </c>
      <c r="F17" s="117">
        <v>36.770000000000003</v>
      </c>
      <c r="G17" s="117">
        <v>33.799999999999997</v>
      </c>
      <c r="H17" s="117">
        <v>33.909999999999997</v>
      </c>
      <c r="I17" s="117">
        <v>33.049999999999997</v>
      </c>
      <c r="J17" s="117">
        <v>32.44</v>
      </c>
      <c r="K17" s="117">
        <v>1.04E-2</v>
      </c>
      <c r="L17" s="117">
        <v>1.03E-2</v>
      </c>
      <c r="M17" s="117">
        <v>1.0699999999999999E-2</v>
      </c>
      <c r="N17" s="117">
        <v>9.1000000000000004E-3</v>
      </c>
      <c r="O17" s="117">
        <v>0.24</v>
      </c>
      <c r="P17" s="117" t="s">
        <v>65</v>
      </c>
      <c r="Q17" s="117" t="s">
        <v>187</v>
      </c>
      <c r="R17" s="119">
        <v>45817.651747685188</v>
      </c>
    </row>
    <row r="18" spans="1:18" x14ac:dyDescent="0.25">
      <c r="A18" s="117" t="s">
        <v>187</v>
      </c>
      <c r="B18" s="117" t="s">
        <v>183</v>
      </c>
      <c r="C18" s="117">
        <v>35.1</v>
      </c>
      <c r="D18" s="117">
        <v>35.659999999999997</v>
      </c>
      <c r="E18" s="117">
        <v>37.630000000000003</v>
      </c>
      <c r="F18" s="117">
        <v>35.04</v>
      </c>
      <c r="G18" s="117">
        <v>32.64</v>
      </c>
      <c r="H18" s="117">
        <v>35.93</v>
      </c>
      <c r="I18" s="117">
        <v>34.340000000000003</v>
      </c>
      <c r="J18" s="117">
        <v>36.700000000000003</v>
      </c>
      <c r="K18" s="117">
        <v>1.03E-2</v>
      </c>
      <c r="L18" s="117">
        <v>1.12E-2</v>
      </c>
      <c r="M18" s="117">
        <v>1.0699999999999999E-2</v>
      </c>
      <c r="N18" s="117">
        <v>1.14E-2</v>
      </c>
      <c r="O18" s="117">
        <v>0.22</v>
      </c>
      <c r="P18" s="117" t="s">
        <v>65</v>
      </c>
      <c r="Q18" s="117" t="s">
        <v>196</v>
      </c>
      <c r="R18" s="119">
        <v>45818.881180555552</v>
      </c>
    </row>
    <row r="19" spans="1:18" x14ac:dyDescent="0.25">
      <c r="A19" s="117" t="s">
        <v>187</v>
      </c>
      <c r="B19" s="117" t="s">
        <v>183</v>
      </c>
      <c r="C19" s="117">
        <v>35.1</v>
      </c>
      <c r="D19" s="117">
        <v>35.659999999999997</v>
      </c>
      <c r="E19" s="117">
        <v>37.630000000000003</v>
      </c>
      <c r="F19" s="117">
        <v>35.04</v>
      </c>
      <c r="G19" s="117">
        <v>32.64</v>
      </c>
      <c r="H19" s="117">
        <v>35.93</v>
      </c>
      <c r="I19" s="117">
        <v>34.340000000000003</v>
      </c>
      <c r="J19" s="117">
        <v>36.700000000000003</v>
      </c>
      <c r="K19" s="117">
        <v>1.03E-2</v>
      </c>
      <c r="L19" s="117">
        <v>1.12E-2</v>
      </c>
      <c r="M19" s="117">
        <v>1.0699999999999999E-2</v>
      </c>
      <c r="N19" s="117">
        <v>1.14E-2</v>
      </c>
      <c r="O19" s="117">
        <v>0.22</v>
      </c>
      <c r="P19" s="117" t="s">
        <v>65</v>
      </c>
      <c r="Q19" s="117" t="s">
        <v>197</v>
      </c>
      <c r="R19" s="119">
        <v>45818.887129629627</v>
      </c>
    </row>
    <row r="20" spans="1:18" x14ac:dyDescent="0.25">
      <c r="A20" s="117" t="s">
        <v>197</v>
      </c>
      <c r="B20" s="117" t="s">
        <v>183</v>
      </c>
      <c r="C20" s="117">
        <v>35.1</v>
      </c>
      <c r="D20" s="117">
        <v>35.659999999999997</v>
      </c>
      <c r="E20" s="117">
        <v>37.630000000000003</v>
      </c>
      <c r="F20" s="117">
        <v>35.04</v>
      </c>
      <c r="G20" s="117">
        <v>32.64</v>
      </c>
      <c r="H20" s="117">
        <v>35.93</v>
      </c>
      <c r="I20" s="117">
        <v>34.340000000000003</v>
      </c>
      <c r="J20" s="117">
        <v>36.700000000000003</v>
      </c>
      <c r="K20" s="117">
        <v>1.03E-2</v>
      </c>
      <c r="L20" s="117">
        <v>1.12E-2</v>
      </c>
      <c r="M20" s="117">
        <v>1.0699999999999999E-2</v>
      </c>
      <c r="N20" s="117">
        <v>1.14E-2</v>
      </c>
      <c r="O20" s="117">
        <v>0.3</v>
      </c>
      <c r="P20" s="117" t="s">
        <v>65</v>
      </c>
      <c r="Q20" s="117" t="s">
        <v>198</v>
      </c>
      <c r="R20" s="119">
        <v>45818.887430555558</v>
      </c>
    </row>
    <row r="21" spans="1:18" x14ac:dyDescent="0.25">
      <c r="A21" s="117" t="s">
        <v>198</v>
      </c>
      <c r="B21" s="117" t="s">
        <v>202</v>
      </c>
      <c r="C21" s="117">
        <v>34.869999999999997</v>
      </c>
      <c r="D21" s="117">
        <v>33.58</v>
      </c>
      <c r="E21" s="117">
        <v>34.020000000000003</v>
      </c>
      <c r="F21" s="117">
        <v>33.28</v>
      </c>
      <c r="G21" s="117">
        <v>37.32</v>
      </c>
      <c r="H21" s="117">
        <v>36.21</v>
      </c>
      <c r="I21" s="117">
        <v>32.26</v>
      </c>
      <c r="J21" s="117">
        <v>32.26</v>
      </c>
      <c r="K21" s="117">
        <v>1.03E-2</v>
      </c>
      <c r="L21" s="117">
        <v>1.11E-2</v>
      </c>
      <c r="M21" s="117">
        <v>1.12E-2</v>
      </c>
      <c r="N21" s="117">
        <v>1.14E-2</v>
      </c>
      <c r="O21" s="117">
        <v>0.23</v>
      </c>
      <c r="P21" s="117" t="s">
        <v>65</v>
      </c>
      <c r="Q21" s="117" t="s">
        <v>203</v>
      </c>
      <c r="R21" s="119">
        <v>45818.909722222219</v>
      </c>
    </row>
    <row r="22" spans="1:18" x14ac:dyDescent="0.25">
      <c r="A22" s="117" t="s">
        <v>203</v>
      </c>
      <c r="B22" s="117" t="s">
        <v>202</v>
      </c>
      <c r="C22" s="117">
        <v>34.14</v>
      </c>
      <c r="D22" s="117">
        <v>33.36</v>
      </c>
      <c r="E22" s="117">
        <v>32.5</v>
      </c>
      <c r="F22" s="117">
        <v>35.450000000000003</v>
      </c>
      <c r="G22" s="117">
        <v>34.47</v>
      </c>
      <c r="H22" s="117">
        <v>35</v>
      </c>
      <c r="I22" s="117">
        <v>32.36</v>
      </c>
      <c r="J22" s="117">
        <v>32.71</v>
      </c>
      <c r="K22" s="117">
        <v>9.4000000000000004E-3</v>
      </c>
      <c r="L22" s="117">
        <v>9.9000000000000008E-3</v>
      </c>
      <c r="M22" s="117">
        <v>1.1900000000000001E-2</v>
      </c>
      <c r="N22" s="117">
        <v>1.0800000000000001E-2</v>
      </c>
      <c r="O22" s="117">
        <v>0.24</v>
      </c>
      <c r="P22" s="117" t="s">
        <v>65</v>
      </c>
      <c r="Q22" s="117" t="s">
        <v>204</v>
      </c>
      <c r="R22" s="119">
        <v>45818.911840277775</v>
      </c>
    </row>
    <row r="23" spans="1:18" x14ac:dyDescent="0.25">
      <c r="A23" s="117" t="s">
        <v>205</v>
      </c>
      <c r="B23" s="117" t="s">
        <v>202</v>
      </c>
      <c r="C23" s="117">
        <v>35.659999999999997</v>
      </c>
      <c r="D23" s="117">
        <v>34.53</v>
      </c>
      <c r="E23" s="117">
        <v>35.619999999999997</v>
      </c>
      <c r="F23" s="117">
        <v>34.770000000000003</v>
      </c>
      <c r="G23" s="117">
        <v>36.6</v>
      </c>
      <c r="H23" s="117">
        <v>35.31</v>
      </c>
      <c r="I23" s="117">
        <v>35.9</v>
      </c>
      <c r="J23" s="117">
        <v>32.39</v>
      </c>
      <c r="K23" s="117">
        <v>9.4999999999999998E-3</v>
      </c>
      <c r="L23" s="117">
        <v>9.2999999999999992E-3</v>
      </c>
      <c r="M23" s="117">
        <v>9.1000000000000004E-3</v>
      </c>
      <c r="N23" s="117">
        <v>1.06E-2</v>
      </c>
      <c r="O23" s="117">
        <v>0.26</v>
      </c>
      <c r="P23" s="117" t="s">
        <v>65</v>
      </c>
      <c r="Q23" s="117" t="s">
        <v>204</v>
      </c>
      <c r="R23" s="119">
        <v>45818.912233796298</v>
      </c>
    </row>
    <row r="24" spans="1:18" x14ac:dyDescent="0.25">
      <c r="A24" s="117" t="s">
        <v>206</v>
      </c>
      <c r="B24" s="117" t="s">
        <v>207</v>
      </c>
      <c r="C24" s="117">
        <v>35.659999999999997</v>
      </c>
      <c r="D24" s="117">
        <v>34.53</v>
      </c>
      <c r="E24" s="117">
        <v>35.619999999999997</v>
      </c>
      <c r="F24" s="117">
        <v>34.770000000000003</v>
      </c>
      <c r="G24" s="117">
        <v>36.6</v>
      </c>
      <c r="H24" s="117">
        <v>35.31</v>
      </c>
      <c r="I24" s="117">
        <v>35.9</v>
      </c>
      <c r="J24" s="117">
        <v>32.39</v>
      </c>
      <c r="K24" s="117">
        <v>9.4999999999999998E-3</v>
      </c>
      <c r="L24" s="117">
        <v>9.2999999999999992E-3</v>
      </c>
      <c r="M24" s="117">
        <v>9.1000000000000004E-3</v>
      </c>
      <c r="N24" s="117">
        <v>1.06E-2</v>
      </c>
      <c r="O24" s="117">
        <v>0.26</v>
      </c>
      <c r="P24" s="117" t="s">
        <v>65</v>
      </c>
      <c r="Q24" s="117" t="s">
        <v>204</v>
      </c>
      <c r="R24" s="119">
        <v>45818.915578703702</v>
      </c>
    </row>
    <row r="25" spans="1:18" x14ac:dyDescent="0.25">
      <c r="A25" s="117" t="s">
        <v>204</v>
      </c>
      <c r="B25" s="117" t="s">
        <v>207</v>
      </c>
      <c r="C25" s="117">
        <v>35.659999999999997</v>
      </c>
      <c r="D25" s="117">
        <v>34.53</v>
      </c>
      <c r="E25" s="117">
        <v>35.619999999999997</v>
      </c>
      <c r="F25" s="117">
        <v>34.770000000000003</v>
      </c>
      <c r="G25" s="117">
        <v>36.6</v>
      </c>
      <c r="H25" s="117">
        <v>35.31</v>
      </c>
      <c r="I25" s="117">
        <v>35.9</v>
      </c>
      <c r="J25" s="117">
        <v>32.39</v>
      </c>
      <c r="K25" s="117">
        <v>9.4999999999999998E-3</v>
      </c>
      <c r="L25" s="117">
        <v>9.2999999999999992E-3</v>
      </c>
      <c r="M25" s="117">
        <v>9.1000000000000004E-3</v>
      </c>
      <c r="N25" s="117">
        <v>1.06E-2</v>
      </c>
      <c r="O25" s="117">
        <v>0.26</v>
      </c>
      <c r="P25" s="117" t="s">
        <v>65</v>
      </c>
      <c r="Q25" s="117" t="s">
        <v>208</v>
      </c>
      <c r="R25" s="119">
        <v>45818.916215277779</v>
      </c>
    </row>
    <row r="26" spans="1:18" x14ac:dyDescent="0.25">
      <c r="A26" s="117" t="s">
        <v>208</v>
      </c>
      <c r="B26" s="117" t="s">
        <v>209</v>
      </c>
      <c r="C26" s="117">
        <v>0</v>
      </c>
      <c r="D26" s="117">
        <v>0</v>
      </c>
      <c r="Q26" s="117" t="s">
        <v>210</v>
      </c>
      <c r="R26" s="119">
        <v>45818.928530092591</v>
      </c>
    </row>
    <row r="27" spans="1:18" x14ac:dyDescent="0.25">
      <c r="A27" s="117" t="s">
        <v>127</v>
      </c>
      <c r="B27" s="117" t="s">
        <v>209</v>
      </c>
      <c r="C27" s="117">
        <v>36.22</v>
      </c>
      <c r="D27" s="117">
        <v>34.79</v>
      </c>
      <c r="E27" s="117">
        <v>37.5</v>
      </c>
      <c r="F27" s="117">
        <v>36.07</v>
      </c>
      <c r="G27" s="117">
        <v>35.08</v>
      </c>
      <c r="H27" s="117">
        <v>34.58</v>
      </c>
      <c r="I27" s="117">
        <v>35.01</v>
      </c>
      <c r="J27" s="117">
        <v>34.78</v>
      </c>
      <c r="K27" s="117">
        <v>0.01</v>
      </c>
      <c r="L27" s="117">
        <v>1.0200000000000001E-2</v>
      </c>
      <c r="M27" s="117">
        <v>9.7999999999999997E-3</v>
      </c>
      <c r="N27" s="117">
        <v>9.1999999999999998E-3</v>
      </c>
      <c r="O27" s="117">
        <v>0.23</v>
      </c>
      <c r="P27" s="117" t="s">
        <v>65</v>
      </c>
      <c r="Q27" s="117" t="s">
        <v>128</v>
      </c>
      <c r="R27" s="119">
        <v>45818.932372685187</v>
      </c>
    </row>
    <row r="28" spans="1:18" x14ac:dyDescent="0.25">
      <c r="A28" s="117" t="s">
        <v>127</v>
      </c>
      <c r="B28" s="117" t="s">
        <v>209</v>
      </c>
      <c r="C28" s="117">
        <v>36.22</v>
      </c>
      <c r="D28" s="117">
        <v>34.79</v>
      </c>
      <c r="E28" s="117">
        <v>37.5</v>
      </c>
      <c r="F28" s="117">
        <v>36.07</v>
      </c>
      <c r="G28" s="117">
        <v>35.08</v>
      </c>
      <c r="H28" s="117">
        <v>34.58</v>
      </c>
      <c r="I28" s="117">
        <v>35.01</v>
      </c>
      <c r="J28" s="117">
        <v>34.78</v>
      </c>
      <c r="K28" s="117">
        <v>0.01</v>
      </c>
      <c r="L28" s="117">
        <v>1.0200000000000001E-2</v>
      </c>
      <c r="M28" s="117">
        <v>9.7999999999999997E-3</v>
      </c>
      <c r="N28" s="117">
        <v>9.1999999999999998E-3</v>
      </c>
      <c r="O28" s="117">
        <v>0.23</v>
      </c>
      <c r="P28" s="117" t="s">
        <v>65</v>
      </c>
      <c r="Q28" s="117" t="s">
        <v>154</v>
      </c>
      <c r="R28" s="119">
        <v>45818.932592592595</v>
      </c>
    </row>
    <row r="29" spans="1:18" x14ac:dyDescent="0.25">
      <c r="A29" s="117" t="s">
        <v>154</v>
      </c>
      <c r="B29" s="117" t="s">
        <v>212</v>
      </c>
      <c r="C29" s="117">
        <v>35.06</v>
      </c>
      <c r="D29" s="117">
        <v>34.5</v>
      </c>
      <c r="E29" s="117">
        <v>34.44</v>
      </c>
      <c r="F29" s="117">
        <v>33.659999999999997</v>
      </c>
      <c r="G29" s="117">
        <v>37.090000000000003</v>
      </c>
      <c r="H29" s="117">
        <v>32.64</v>
      </c>
      <c r="I29" s="117">
        <v>35.86</v>
      </c>
      <c r="J29" s="117">
        <v>34.99</v>
      </c>
      <c r="K29" s="117">
        <v>9.4999999999999998E-3</v>
      </c>
      <c r="L29" s="117">
        <v>1.1599999999999999E-2</v>
      </c>
      <c r="M29" s="117">
        <v>1.01E-2</v>
      </c>
      <c r="N29" s="117">
        <v>9.9000000000000008E-3</v>
      </c>
      <c r="O29" s="117">
        <v>0.26</v>
      </c>
      <c r="P29" s="117" t="s">
        <v>65</v>
      </c>
      <c r="Q29" s="117" t="s">
        <v>155</v>
      </c>
      <c r="R29" s="119">
        <v>45818.934687499997</v>
      </c>
    </row>
    <row r="30" spans="1:18" x14ac:dyDescent="0.25">
      <c r="A30" s="117" t="s">
        <v>154</v>
      </c>
      <c r="B30" s="117" t="s">
        <v>212</v>
      </c>
      <c r="C30" s="117">
        <v>35.06</v>
      </c>
      <c r="D30" s="117">
        <v>34.5</v>
      </c>
      <c r="E30" s="117">
        <v>34.44</v>
      </c>
      <c r="F30" s="117">
        <v>33.659999999999997</v>
      </c>
      <c r="G30" s="117">
        <v>37.090000000000003</v>
      </c>
      <c r="H30" s="117">
        <v>32.64</v>
      </c>
      <c r="I30" s="117">
        <v>35.86</v>
      </c>
      <c r="J30" s="117">
        <v>34.99</v>
      </c>
      <c r="K30" s="117">
        <v>9.4999999999999998E-3</v>
      </c>
      <c r="L30" s="117">
        <v>1.1599999999999999E-2</v>
      </c>
      <c r="M30" s="117">
        <v>1.01E-2</v>
      </c>
      <c r="N30" s="117">
        <v>9.9000000000000008E-3</v>
      </c>
      <c r="O30" s="117">
        <v>0.26</v>
      </c>
      <c r="P30" s="117" t="s">
        <v>65</v>
      </c>
      <c r="Q30" s="117" t="s">
        <v>157</v>
      </c>
      <c r="R30" s="119">
        <v>45818.935266203705</v>
      </c>
    </row>
    <row r="31" spans="1:18" x14ac:dyDescent="0.25">
      <c r="A31" s="117" t="s">
        <v>154</v>
      </c>
      <c r="B31" s="117" t="s">
        <v>214</v>
      </c>
      <c r="C31" s="117">
        <v>35.06</v>
      </c>
      <c r="D31" s="117">
        <v>34.5</v>
      </c>
      <c r="E31" s="117">
        <v>34.44</v>
      </c>
      <c r="F31" s="117">
        <v>33.659999999999997</v>
      </c>
      <c r="G31" s="117">
        <v>37.090000000000003</v>
      </c>
      <c r="H31" s="117">
        <v>32.64</v>
      </c>
      <c r="I31" s="117">
        <v>35.86</v>
      </c>
      <c r="J31" s="117">
        <v>34.99</v>
      </c>
      <c r="K31" s="117">
        <v>9.4999999999999998E-3</v>
      </c>
      <c r="L31" s="117">
        <v>1.1599999999999999E-2</v>
      </c>
      <c r="M31" s="117">
        <v>1.01E-2</v>
      </c>
      <c r="N31" s="117">
        <v>9.9000000000000008E-3</v>
      </c>
      <c r="O31" s="117">
        <v>0.26</v>
      </c>
      <c r="P31" s="117" t="s">
        <v>65</v>
      </c>
      <c r="Q31" s="117" t="s">
        <v>158</v>
      </c>
      <c r="R31" s="119">
        <v>45818.937175925923</v>
      </c>
    </row>
    <row r="32" spans="1:18" x14ac:dyDescent="0.25">
      <c r="A32" s="117" t="s">
        <v>154</v>
      </c>
      <c r="B32" s="117" t="s">
        <v>214</v>
      </c>
      <c r="C32" s="117">
        <v>35.06</v>
      </c>
      <c r="D32" s="117">
        <v>34.5</v>
      </c>
      <c r="E32" s="117">
        <v>34.44</v>
      </c>
      <c r="F32" s="117">
        <v>33.659999999999997</v>
      </c>
      <c r="G32" s="117">
        <v>37.090000000000003</v>
      </c>
      <c r="H32" s="117">
        <v>32.64</v>
      </c>
      <c r="I32" s="117">
        <v>35.86</v>
      </c>
      <c r="J32" s="117">
        <v>34.99</v>
      </c>
      <c r="K32" s="117">
        <v>9.4999999999999998E-3</v>
      </c>
      <c r="L32" s="117">
        <v>1.1599999999999999E-2</v>
      </c>
      <c r="M32" s="117">
        <v>1.01E-2</v>
      </c>
      <c r="N32" s="117">
        <v>9.9000000000000008E-3</v>
      </c>
      <c r="O32" s="117">
        <v>0.26</v>
      </c>
      <c r="P32" s="117" t="s">
        <v>65</v>
      </c>
      <c r="Q32" s="117" t="s">
        <v>159</v>
      </c>
      <c r="R32" s="119">
        <v>45818.948298611111</v>
      </c>
    </row>
    <row r="33" spans="1:18" x14ac:dyDescent="0.25">
      <c r="A33" s="117" t="s">
        <v>159</v>
      </c>
      <c r="B33" s="117" t="s">
        <v>214</v>
      </c>
      <c r="C33" s="117">
        <v>34.43</v>
      </c>
      <c r="D33" s="117">
        <v>35.020000000000003</v>
      </c>
      <c r="E33" s="117">
        <v>34.119999999999997</v>
      </c>
      <c r="F33" s="117">
        <v>35.56</v>
      </c>
      <c r="G33" s="117">
        <v>33.61</v>
      </c>
      <c r="H33" s="117">
        <v>33.409999999999997</v>
      </c>
      <c r="I33" s="117">
        <v>36.21</v>
      </c>
      <c r="J33" s="117">
        <v>35.450000000000003</v>
      </c>
      <c r="K33" s="117">
        <v>1.0699999999999999E-2</v>
      </c>
      <c r="L33" s="117">
        <v>1.1900000000000001E-2</v>
      </c>
      <c r="M33" s="117">
        <v>1.17E-2</v>
      </c>
      <c r="N33" s="117">
        <v>9.7000000000000003E-3</v>
      </c>
      <c r="O33" s="117">
        <v>0.26</v>
      </c>
      <c r="P33" s="117" t="s">
        <v>65</v>
      </c>
      <c r="Q33" s="117" t="s">
        <v>160</v>
      </c>
      <c r="R33" s="119">
        <v>45818.951319444444</v>
      </c>
    </row>
    <row r="34" spans="1:18" x14ac:dyDescent="0.25">
      <c r="A34" s="117" t="s">
        <v>159</v>
      </c>
      <c r="B34" s="117" t="s">
        <v>214</v>
      </c>
      <c r="C34" s="117">
        <v>34.43</v>
      </c>
      <c r="D34" s="117">
        <v>35.020000000000003</v>
      </c>
      <c r="E34" s="117">
        <v>34.119999999999997</v>
      </c>
      <c r="F34" s="117">
        <v>35.56</v>
      </c>
      <c r="G34" s="117">
        <v>33.61</v>
      </c>
      <c r="H34" s="117">
        <v>33.409999999999997</v>
      </c>
      <c r="I34" s="117">
        <v>36.21</v>
      </c>
      <c r="J34" s="117">
        <v>35.450000000000003</v>
      </c>
      <c r="K34" s="117">
        <v>1.0699999999999999E-2</v>
      </c>
      <c r="L34" s="117">
        <v>1.1900000000000001E-2</v>
      </c>
      <c r="M34" s="117">
        <v>1.17E-2</v>
      </c>
      <c r="N34" s="117">
        <v>9.7000000000000003E-3</v>
      </c>
      <c r="O34" s="117">
        <v>0.26</v>
      </c>
      <c r="P34" s="117" t="s">
        <v>65</v>
      </c>
      <c r="Q34" s="117" t="s">
        <v>161</v>
      </c>
      <c r="R34" s="119">
        <v>45818.951793981483</v>
      </c>
    </row>
    <row r="35" spans="1:18" x14ac:dyDescent="0.25">
      <c r="A35" s="117" t="s">
        <v>159</v>
      </c>
      <c r="B35" s="117" t="s">
        <v>214</v>
      </c>
      <c r="C35" s="117">
        <v>34.43</v>
      </c>
      <c r="D35" s="117">
        <v>35.020000000000003</v>
      </c>
      <c r="E35" s="117">
        <v>34.119999999999997</v>
      </c>
      <c r="F35" s="117">
        <v>35.56</v>
      </c>
      <c r="G35" s="117">
        <v>33.61</v>
      </c>
      <c r="H35" s="117">
        <v>33.409999999999997</v>
      </c>
      <c r="I35" s="117">
        <v>36.21</v>
      </c>
      <c r="J35" s="117">
        <v>35.450000000000003</v>
      </c>
      <c r="K35" s="117">
        <v>1.0699999999999999E-2</v>
      </c>
      <c r="L35" s="117">
        <v>1.1900000000000001E-2</v>
      </c>
      <c r="M35" s="117">
        <v>1.17E-2</v>
      </c>
      <c r="N35" s="117">
        <v>9.7000000000000003E-3</v>
      </c>
      <c r="O35" s="117">
        <v>0.26</v>
      </c>
      <c r="P35" s="117" t="s">
        <v>65</v>
      </c>
      <c r="Q35" s="117" t="s">
        <v>162</v>
      </c>
      <c r="R35" s="119">
        <v>45818.952638888892</v>
      </c>
    </row>
    <row r="36" spans="1:18" x14ac:dyDescent="0.25">
      <c r="A36" s="117" t="s">
        <v>162</v>
      </c>
      <c r="B36" s="117" t="s">
        <v>218</v>
      </c>
      <c r="C36" s="117">
        <v>36.33</v>
      </c>
      <c r="D36" s="117">
        <v>36.22</v>
      </c>
      <c r="E36" s="117">
        <v>34.479999999999997</v>
      </c>
      <c r="F36" s="117">
        <v>36.74</v>
      </c>
      <c r="G36" s="117">
        <v>37.770000000000003</v>
      </c>
      <c r="H36" s="117">
        <v>37.18</v>
      </c>
      <c r="I36" s="117">
        <v>34.24</v>
      </c>
      <c r="J36" s="117">
        <v>37.229999999999997</v>
      </c>
      <c r="K36" s="117">
        <v>9.1999999999999998E-3</v>
      </c>
      <c r="L36" s="117">
        <v>1.18E-2</v>
      </c>
      <c r="M36" s="117">
        <v>1.01E-2</v>
      </c>
      <c r="N36" s="117">
        <v>1.0500000000000001E-2</v>
      </c>
      <c r="O36" s="117">
        <v>0.26</v>
      </c>
      <c r="P36" s="117" t="s">
        <v>65</v>
      </c>
      <c r="Q36" s="117" t="s">
        <v>163</v>
      </c>
      <c r="R36" s="119">
        <v>45819.00571759259</v>
      </c>
    </row>
    <row r="37" spans="1:18" x14ac:dyDescent="0.25">
      <c r="A37" s="117" t="s">
        <v>162</v>
      </c>
      <c r="B37" s="117" t="s">
        <v>218</v>
      </c>
      <c r="C37" s="117">
        <v>36.33</v>
      </c>
      <c r="D37" s="117">
        <v>36.22</v>
      </c>
      <c r="E37" s="117">
        <v>34.479999999999997</v>
      </c>
      <c r="F37" s="117">
        <v>36.74</v>
      </c>
      <c r="G37" s="117">
        <v>37.770000000000003</v>
      </c>
      <c r="H37" s="117">
        <v>37.18</v>
      </c>
      <c r="I37" s="117">
        <v>34.24</v>
      </c>
      <c r="J37" s="117">
        <v>37.229999999999997</v>
      </c>
      <c r="K37" s="117">
        <v>9.1999999999999998E-3</v>
      </c>
      <c r="L37" s="117">
        <v>1.18E-2</v>
      </c>
      <c r="M37" s="117">
        <v>1.01E-2</v>
      </c>
      <c r="N37" s="117">
        <v>1.0500000000000001E-2</v>
      </c>
      <c r="O37" s="117">
        <v>0.26</v>
      </c>
      <c r="P37" s="117" t="s">
        <v>65</v>
      </c>
      <c r="Q37" s="117" t="s">
        <v>184</v>
      </c>
      <c r="R37" s="119">
        <v>45819.005879629629</v>
      </c>
    </row>
    <row r="38" spans="1:18" x14ac:dyDescent="0.25">
      <c r="A38" s="117" t="s">
        <v>162</v>
      </c>
      <c r="B38" s="117" t="s">
        <v>218</v>
      </c>
      <c r="C38" s="117">
        <v>36.33</v>
      </c>
      <c r="D38" s="117">
        <v>36.22</v>
      </c>
      <c r="E38" s="117">
        <v>34.479999999999997</v>
      </c>
      <c r="F38" s="117">
        <v>36.74</v>
      </c>
      <c r="G38" s="117">
        <v>37.770000000000003</v>
      </c>
      <c r="H38" s="117">
        <v>37.18</v>
      </c>
      <c r="I38" s="117">
        <v>34.24</v>
      </c>
      <c r="J38" s="117">
        <v>37.229999999999997</v>
      </c>
      <c r="K38" s="117">
        <v>9.1999999999999998E-3</v>
      </c>
      <c r="L38" s="117">
        <v>1.18E-2</v>
      </c>
      <c r="M38" s="117">
        <v>1.01E-2</v>
      </c>
      <c r="N38" s="117">
        <v>1.0500000000000001E-2</v>
      </c>
      <c r="O38" s="117">
        <v>0.26</v>
      </c>
      <c r="P38" s="117" t="s">
        <v>65</v>
      </c>
      <c r="Q38" s="117" t="s">
        <v>185</v>
      </c>
      <c r="R38" s="119">
        <v>45819.006226851852</v>
      </c>
    </row>
    <row r="39" spans="1:18" x14ac:dyDescent="0.25">
      <c r="A39" s="117" t="s">
        <v>162</v>
      </c>
      <c r="B39" s="117" t="s">
        <v>218</v>
      </c>
      <c r="C39" s="117">
        <v>36.33</v>
      </c>
      <c r="D39" s="117">
        <v>36.22</v>
      </c>
      <c r="E39" s="117">
        <v>34.479999999999997</v>
      </c>
      <c r="F39" s="117">
        <v>36.74</v>
      </c>
      <c r="G39" s="117">
        <v>37.770000000000003</v>
      </c>
      <c r="H39" s="117">
        <v>37.18</v>
      </c>
      <c r="I39" s="117">
        <v>34.24</v>
      </c>
      <c r="J39" s="117">
        <v>37.229999999999997</v>
      </c>
      <c r="K39" s="117">
        <v>9.1999999999999998E-3</v>
      </c>
      <c r="L39" s="117">
        <v>1.18E-2</v>
      </c>
      <c r="M39" s="117">
        <v>1.01E-2</v>
      </c>
      <c r="N39" s="117">
        <v>1.0500000000000001E-2</v>
      </c>
      <c r="O39" s="117">
        <v>0.26</v>
      </c>
      <c r="P39" s="117" t="s">
        <v>65</v>
      </c>
      <c r="Q39" s="117" t="s">
        <v>186</v>
      </c>
      <c r="R39" s="119">
        <v>45819.006469907406</v>
      </c>
    </row>
    <row r="40" spans="1:18" x14ac:dyDescent="0.25">
      <c r="A40" s="117" t="s">
        <v>186</v>
      </c>
      <c r="B40" s="117" t="s">
        <v>219</v>
      </c>
      <c r="C40" s="117">
        <v>35.17</v>
      </c>
      <c r="D40" s="117">
        <v>35.200000000000003</v>
      </c>
      <c r="E40" s="117">
        <v>36.229999999999997</v>
      </c>
      <c r="F40" s="117">
        <v>35.479999999999997</v>
      </c>
      <c r="G40" s="117">
        <v>33.81</v>
      </c>
      <c r="H40" s="117">
        <v>35.200000000000003</v>
      </c>
      <c r="I40" s="117">
        <v>33.74</v>
      </c>
      <c r="J40" s="117">
        <v>36.65</v>
      </c>
      <c r="K40" s="117">
        <v>8.9999999999999993E-3</v>
      </c>
      <c r="L40" s="117">
        <v>1.12E-2</v>
      </c>
      <c r="M40" s="117">
        <v>1.14E-2</v>
      </c>
      <c r="N40" s="117">
        <v>1.11E-2</v>
      </c>
      <c r="O40" s="117">
        <v>0.23</v>
      </c>
      <c r="P40" s="117" t="s">
        <v>65</v>
      </c>
      <c r="Q40" s="117" t="s">
        <v>187</v>
      </c>
      <c r="R40" s="119">
        <v>45819.009155092594</v>
      </c>
    </row>
    <row r="41" spans="1:18" x14ac:dyDescent="0.25">
      <c r="A41" s="117" t="s">
        <v>186</v>
      </c>
      <c r="B41" s="117" t="s">
        <v>219</v>
      </c>
      <c r="C41" s="117">
        <v>35.17</v>
      </c>
      <c r="D41" s="117">
        <v>35.200000000000003</v>
      </c>
      <c r="E41" s="117">
        <v>36.229999999999997</v>
      </c>
      <c r="F41" s="117">
        <v>35.479999999999997</v>
      </c>
      <c r="G41" s="117">
        <v>33.81</v>
      </c>
      <c r="H41" s="117">
        <v>35.200000000000003</v>
      </c>
      <c r="I41" s="117">
        <v>33.74</v>
      </c>
      <c r="J41" s="117">
        <v>36.65</v>
      </c>
      <c r="K41" s="117">
        <v>8.9999999999999993E-3</v>
      </c>
      <c r="L41" s="117">
        <v>1.12E-2</v>
      </c>
      <c r="M41" s="117">
        <v>1.14E-2</v>
      </c>
      <c r="N41" s="117">
        <v>1.11E-2</v>
      </c>
      <c r="O41" s="117">
        <v>0.23</v>
      </c>
      <c r="P41" s="117" t="s">
        <v>65</v>
      </c>
      <c r="Q41" s="117" t="s">
        <v>196</v>
      </c>
      <c r="R41" s="119">
        <v>45819.011192129627</v>
      </c>
    </row>
    <row r="42" spans="1:18" x14ac:dyDescent="0.25">
      <c r="A42" s="117" t="s">
        <v>186</v>
      </c>
      <c r="B42" s="117" t="s">
        <v>219</v>
      </c>
      <c r="C42" s="117">
        <v>35.17</v>
      </c>
      <c r="D42" s="117">
        <v>35.200000000000003</v>
      </c>
      <c r="E42" s="117">
        <v>36.229999999999997</v>
      </c>
      <c r="F42" s="117">
        <v>35.479999999999997</v>
      </c>
      <c r="G42" s="117">
        <v>33.81</v>
      </c>
      <c r="H42" s="117">
        <v>35.200000000000003</v>
      </c>
      <c r="I42" s="117">
        <v>33.74</v>
      </c>
      <c r="J42" s="117">
        <v>36.65</v>
      </c>
      <c r="K42" s="117">
        <v>8.9999999999999993E-3</v>
      </c>
      <c r="L42" s="117">
        <v>1.12E-2</v>
      </c>
      <c r="M42" s="117">
        <v>1.14E-2</v>
      </c>
      <c r="N42" s="117">
        <v>1.11E-2</v>
      </c>
      <c r="O42" s="117">
        <v>0.23</v>
      </c>
      <c r="P42" s="117" t="s">
        <v>65</v>
      </c>
      <c r="Q42" s="117" t="s">
        <v>197</v>
      </c>
      <c r="R42" s="119">
        <v>45819.011400462965</v>
      </c>
    </row>
    <row r="43" spans="1:18" x14ac:dyDescent="0.25">
      <c r="A43" s="117" t="s">
        <v>197</v>
      </c>
      <c r="B43" s="117" t="s">
        <v>226</v>
      </c>
      <c r="C43" s="117">
        <v>0</v>
      </c>
      <c r="D43" s="117">
        <v>0</v>
      </c>
      <c r="Q43" s="117" t="s">
        <v>198</v>
      </c>
      <c r="R43" s="119">
        <v>45819.015162037038</v>
      </c>
    </row>
    <row r="44" spans="1:18" x14ac:dyDescent="0.25">
      <c r="A44" s="117" t="s">
        <v>198</v>
      </c>
      <c r="B44" s="117" t="s">
        <v>227</v>
      </c>
      <c r="C44" s="117">
        <v>35.89</v>
      </c>
      <c r="D44" s="117">
        <v>33.130000000000003</v>
      </c>
      <c r="E44" s="117">
        <v>37.11</v>
      </c>
      <c r="F44" s="117">
        <v>36.770000000000003</v>
      </c>
      <c r="G44" s="117">
        <v>33.799999999999997</v>
      </c>
      <c r="H44" s="117">
        <v>33.909999999999997</v>
      </c>
      <c r="I44" s="117">
        <v>33.049999999999997</v>
      </c>
      <c r="J44" s="117">
        <v>32.44</v>
      </c>
      <c r="K44" s="117">
        <v>1.04E-2</v>
      </c>
      <c r="L44" s="117">
        <v>1.03E-2</v>
      </c>
      <c r="M44" s="117">
        <v>1.0699999999999999E-2</v>
      </c>
      <c r="N44" s="117">
        <v>9.1000000000000004E-3</v>
      </c>
      <c r="O44" s="117">
        <v>0.24</v>
      </c>
      <c r="P44" s="117" t="s">
        <v>65</v>
      </c>
      <c r="Q44" s="117" t="s">
        <v>203</v>
      </c>
      <c r="R44" s="119">
        <v>45819.026076388887</v>
      </c>
    </row>
    <row r="45" spans="1:18" x14ac:dyDescent="0.25">
      <c r="A45" s="117" t="s">
        <v>203</v>
      </c>
      <c r="B45" s="117" t="s">
        <v>231</v>
      </c>
      <c r="C45" s="117">
        <v>0</v>
      </c>
      <c r="D45" s="117">
        <v>0</v>
      </c>
      <c r="Q45" s="117" t="s">
        <v>204</v>
      </c>
      <c r="R45" s="119">
        <v>45819.94703703704</v>
      </c>
    </row>
    <row r="46" spans="1:18" x14ac:dyDescent="0.25">
      <c r="A46" s="117" t="s">
        <v>204</v>
      </c>
      <c r="B46" s="117" t="s">
        <v>231</v>
      </c>
      <c r="C46" s="117">
        <v>34.229999999999997</v>
      </c>
      <c r="D46" s="117">
        <v>33.07</v>
      </c>
      <c r="E46" s="117">
        <v>33.78</v>
      </c>
      <c r="F46" s="117">
        <v>34.880000000000003</v>
      </c>
      <c r="G46" s="117">
        <v>34.04</v>
      </c>
      <c r="H46" s="117">
        <v>33.409999999999997</v>
      </c>
      <c r="I46" s="117">
        <v>33.53</v>
      </c>
      <c r="J46" s="117">
        <v>32.270000000000003</v>
      </c>
      <c r="K46" s="117">
        <v>1.04E-2</v>
      </c>
      <c r="L46" s="117">
        <v>9.5999999999999992E-3</v>
      </c>
      <c r="M46" s="117">
        <v>1.15E-2</v>
      </c>
      <c r="N46" s="117">
        <v>1.0699999999999999E-2</v>
      </c>
      <c r="O46" s="117">
        <v>0.26</v>
      </c>
      <c r="P46" s="117" t="s">
        <v>65</v>
      </c>
      <c r="Q46" s="117" t="s">
        <v>208</v>
      </c>
      <c r="R46" s="119">
        <v>45819.950520833336</v>
      </c>
    </row>
    <row r="47" spans="1:18" x14ac:dyDescent="0.25">
      <c r="A47" s="117" t="s">
        <v>204</v>
      </c>
      <c r="B47" s="117" t="s">
        <v>231</v>
      </c>
      <c r="C47" s="117">
        <v>34.229999999999997</v>
      </c>
      <c r="D47" s="117">
        <v>33.07</v>
      </c>
      <c r="E47" s="117">
        <v>33.78</v>
      </c>
      <c r="F47" s="117">
        <v>34.880000000000003</v>
      </c>
      <c r="G47" s="117">
        <v>34.04</v>
      </c>
      <c r="H47" s="117">
        <v>33.409999999999997</v>
      </c>
      <c r="I47" s="117">
        <v>33.53</v>
      </c>
      <c r="J47" s="117">
        <v>32.270000000000003</v>
      </c>
      <c r="K47" s="117">
        <v>1.04E-2</v>
      </c>
      <c r="L47" s="117">
        <v>9.5999999999999992E-3</v>
      </c>
      <c r="M47" s="117">
        <v>1.15E-2</v>
      </c>
      <c r="N47" s="117">
        <v>1.0699999999999999E-2</v>
      </c>
      <c r="O47" s="117">
        <v>0.26</v>
      </c>
      <c r="P47" s="117" t="s">
        <v>65</v>
      </c>
      <c r="Q47" s="117" t="s">
        <v>210</v>
      </c>
      <c r="R47" s="119">
        <v>45819.95071759259</v>
      </c>
    </row>
    <row r="48" spans="1:18" x14ac:dyDescent="0.25">
      <c r="A48" s="117" t="s">
        <v>210</v>
      </c>
      <c r="B48" s="117" t="s">
        <v>231</v>
      </c>
      <c r="C48" s="117">
        <v>35.17</v>
      </c>
      <c r="D48" s="117">
        <v>35.200000000000003</v>
      </c>
      <c r="E48" s="117">
        <v>36.229999999999997</v>
      </c>
      <c r="F48" s="117">
        <v>35.479999999999997</v>
      </c>
      <c r="G48" s="117">
        <v>33.81</v>
      </c>
      <c r="H48" s="117">
        <v>35.200000000000003</v>
      </c>
      <c r="I48" s="117">
        <v>33.74</v>
      </c>
      <c r="J48" s="117">
        <v>36.65</v>
      </c>
      <c r="K48" s="117">
        <v>8.9999999999999993E-3</v>
      </c>
      <c r="L48" s="117">
        <v>1.12E-2</v>
      </c>
      <c r="M48" s="117">
        <v>1.14E-2</v>
      </c>
      <c r="N48" s="117">
        <v>1.11E-2</v>
      </c>
      <c r="O48" s="117">
        <v>0.23</v>
      </c>
      <c r="P48" s="117" t="s">
        <v>65</v>
      </c>
      <c r="Q48" s="117" t="s">
        <v>244</v>
      </c>
      <c r="R48" s="119">
        <v>45819.955011574071</v>
      </c>
    </row>
    <row r="49" spans="1:18" x14ac:dyDescent="0.25">
      <c r="A49" s="117" t="s">
        <v>210</v>
      </c>
      <c r="B49" s="117" t="s">
        <v>231</v>
      </c>
      <c r="C49" s="117">
        <v>35.17</v>
      </c>
      <c r="D49" s="117">
        <v>35.200000000000003</v>
      </c>
      <c r="E49" s="117">
        <v>36.229999999999997</v>
      </c>
      <c r="F49" s="117">
        <v>35.479999999999997</v>
      </c>
      <c r="G49" s="117">
        <v>33.81</v>
      </c>
      <c r="H49" s="117">
        <v>35.200000000000003</v>
      </c>
      <c r="I49" s="117">
        <v>33.74</v>
      </c>
      <c r="J49" s="117">
        <v>36.65</v>
      </c>
      <c r="K49" s="117">
        <v>8.9999999999999993E-3</v>
      </c>
      <c r="L49" s="117">
        <v>1.12E-2</v>
      </c>
      <c r="M49" s="117">
        <v>1.14E-2</v>
      </c>
      <c r="N49" s="117">
        <v>1.11E-2</v>
      </c>
      <c r="O49" s="117">
        <v>0.23</v>
      </c>
      <c r="P49" s="117" t="s">
        <v>65</v>
      </c>
      <c r="Q49" s="117" t="s">
        <v>245</v>
      </c>
      <c r="R49" s="119">
        <v>45819.955729166664</v>
      </c>
    </row>
    <row r="50" spans="1:18" x14ac:dyDescent="0.25">
      <c r="A50" s="117" t="s">
        <v>245</v>
      </c>
      <c r="B50" s="117" t="s">
        <v>228</v>
      </c>
      <c r="C50" s="117">
        <v>36.22</v>
      </c>
      <c r="D50" s="117">
        <v>34.79</v>
      </c>
      <c r="E50" s="117">
        <v>37.5</v>
      </c>
      <c r="F50" s="117">
        <v>36.07</v>
      </c>
      <c r="G50" s="117">
        <v>35.08</v>
      </c>
      <c r="H50" s="117">
        <v>34.58</v>
      </c>
      <c r="I50" s="117">
        <v>35.01</v>
      </c>
      <c r="J50" s="117">
        <v>34.78</v>
      </c>
      <c r="K50" s="117">
        <v>0.01</v>
      </c>
      <c r="L50" s="117">
        <v>1.0200000000000001E-2</v>
      </c>
      <c r="M50" s="117">
        <v>9.7999999999999997E-3</v>
      </c>
      <c r="N50" s="117">
        <v>9.1999999999999998E-3</v>
      </c>
      <c r="O50" s="117">
        <v>0.23</v>
      </c>
      <c r="P50" s="117" t="s">
        <v>65</v>
      </c>
      <c r="Q50" s="117" t="s">
        <v>246</v>
      </c>
      <c r="R50" s="119">
        <v>45819.957650462966</v>
      </c>
    </row>
    <row r="51" spans="1:18" x14ac:dyDescent="0.25">
      <c r="A51" s="117" t="s">
        <v>245</v>
      </c>
      <c r="B51" s="117" t="s">
        <v>228</v>
      </c>
      <c r="C51" s="117">
        <v>36.22</v>
      </c>
      <c r="D51" s="117">
        <v>34.79</v>
      </c>
      <c r="E51" s="117">
        <v>37.5</v>
      </c>
      <c r="F51" s="117">
        <v>36.07</v>
      </c>
      <c r="G51" s="117">
        <v>35.08</v>
      </c>
      <c r="H51" s="117">
        <v>34.58</v>
      </c>
      <c r="I51" s="117">
        <v>35.01</v>
      </c>
      <c r="J51" s="117">
        <v>34.78</v>
      </c>
      <c r="K51" s="117">
        <v>0.01</v>
      </c>
      <c r="L51" s="117">
        <v>1.0200000000000001E-2</v>
      </c>
      <c r="M51" s="117">
        <v>9.7999999999999997E-3</v>
      </c>
      <c r="N51" s="117">
        <v>9.1999999999999998E-3</v>
      </c>
      <c r="O51" s="117">
        <v>0.23</v>
      </c>
      <c r="P51" s="117" t="s">
        <v>65</v>
      </c>
      <c r="Q51" s="117" t="s">
        <v>253</v>
      </c>
      <c r="R51" s="119">
        <v>45819.958275462966</v>
      </c>
    </row>
    <row r="52" spans="1:18" x14ac:dyDescent="0.25">
      <c r="A52" s="117" t="s">
        <v>245</v>
      </c>
      <c r="B52" s="117" t="s">
        <v>228</v>
      </c>
      <c r="C52" s="117">
        <v>36.22</v>
      </c>
      <c r="D52" s="117">
        <v>34.79</v>
      </c>
      <c r="E52" s="117">
        <v>37.5</v>
      </c>
      <c r="F52" s="117">
        <v>36.07</v>
      </c>
      <c r="G52" s="117">
        <v>35.08</v>
      </c>
      <c r="H52" s="117">
        <v>34.58</v>
      </c>
      <c r="I52" s="117">
        <v>35.01</v>
      </c>
      <c r="J52" s="117">
        <v>34.78</v>
      </c>
      <c r="K52" s="117">
        <v>0.01</v>
      </c>
      <c r="L52" s="117">
        <v>1.0200000000000001E-2</v>
      </c>
      <c r="M52" s="117">
        <v>9.7999999999999997E-3</v>
      </c>
      <c r="N52" s="117">
        <v>9.1999999999999998E-3</v>
      </c>
      <c r="O52" s="117">
        <v>0.23</v>
      </c>
      <c r="P52" s="117" t="s">
        <v>65</v>
      </c>
      <c r="Q52" s="117" t="s">
        <v>254</v>
      </c>
      <c r="R52" s="119">
        <v>45819.958368055559</v>
      </c>
    </row>
    <row r="53" spans="1:18" x14ac:dyDescent="0.25">
      <c r="A53" s="117" t="s">
        <v>245</v>
      </c>
      <c r="B53" s="117" t="s">
        <v>228</v>
      </c>
      <c r="C53" s="117">
        <v>36.22</v>
      </c>
      <c r="D53" s="117">
        <v>34.79</v>
      </c>
      <c r="E53" s="117">
        <v>37.5</v>
      </c>
      <c r="F53" s="117">
        <v>36.07</v>
      </c>
      <c r="G53" s="117">
        <v>35.08</v>
      </c>
      <c r="H53" s="117">
        <v>34.58</v>
      </c>
      <c r="I53" s="117">
        <v>35.01</v>
      </c>
      <c r="J53" s="117">
        <v>34.78</v>
      </c>
      <c r="K53" s="117">
        <v>0.01</v>
      </c>
      <c r="L53" s="117">
        <v>1.0200000000000001E-2</v>
      </c>
      <c r="M53" s="117">
        <v>9.7999999999999997E-3</v>
      </c>
      <c r="N53" s="117">
        <v>9.1999999999999998E-3</v>
      </c>
      <c r="O53" s="117">
        <v>0.23</v>
      </c>
      <c r="P53" s="117" t="s">
        <v>65</v>
      </c>
      <c r="Q53" s="117" t="s">
        <v>255</v>
      </c>
      <c r="R53" s="119">
        <v>45819.958622685182</v>
      </c>
    </row>
    <row r="54" spans="1:18" x14ac:dyDescent="0.25">
      <c r="A54" s="117" t="s">
        <v>245</v>
      </c>
      <c r="B54" s="117" t="s">
        <v>228</v>
      </c>
      <c r="C54" s="117">
        <v>36.22</v>
      </c>
      <c r="D54" s="117">
        <v>34.79</v>
      </c>
      <c r="E54" s="117">
        <v>37.5</v>
      </c>
      <c r="F54" s="117">
        <v>36.07</v>
      </c>
      <c r="G54" s="117">
        <v>35.08</v>
      </c>
      <c r="H54" s="117">
        <v>34.58</v>
      </c>
      <c r="I54" s="117">
        <v>35.01</v>
      </c>
      <c r="J54" s="117">
        <v>34.78</v>
      </c>
      <c r="K54" s="117">
        <v>0.01</v>
      </c>
      <c r="L54" s="117">
        <v>1.0200000000000001E-2</v>
      </c>
      <c r="M54" s="117">
        <v>9.7999999999999997E-3</v>
      </c>
      <c r="N54" s="117">
        <v>9.1999999999999998E-3</v>
      </c>
      <c r="O54" s="117">
        <v>0.23</v>
      </c>
      <c r="P54" s="117" t="s">
        <v>65</v>
      </c>
      <c r="Q54" s="117" t="s">
        <v>262</v>
      </c>
      <c r="R54" s="119">
        <v>45819.95890046296</v>
      </c>
    </row>
    <row r="55" spans="1:18" x14ac:dyDescent="0.25">
      <c r="A55" s="117" t="s">
        <v>262</v>
      </c>
      <c r="B55" s="117" t="s">
        <v>229</v>
      </c>
      <c r="C55" s="117">
        <v>35.880000000000003</v>
      </c>
      <c r="D55" s="117">
        <v>34.94</v>
      </c>
      <c r="E55" s="117">
        <v>34.25</v>
      </c>
      <c r="F55" s="117">
        <v>37.049999999999997</v>
      </c>
      <c r="G55" s="117">
        <v>36.35</v>
      </c>
      <c r="H55" s="117">
        <v>34.409999999999997</v>
      </c>
      <c r="I55" s="117">
        <v>34.46</v>
      </c>
      <c r="J55" s="117">
        <v>35.950000000000003</v>
      </c>
      <c r="K55" s="117">
        <v>1.0200000000000001E-2</v>
      </c>
      <c r="L55" s="117">
        <v>1.18E-2</v>
      </c>
      <c r="M55" s="117">
        <v>1.09E-2</v>
      </c>
      <c r="N55" s="117">
        <v>1.0500000000000001E-2</v>
      </c>
      <c r="O55" s="117">
        <v>0.23</v>
      </c>
      <c r="P55" s="117" t="s">
        <v>65</v>
      </c>
      <c r="Q55" s="117" t="s">
        <v>269</v>
      </c>
      <c r="R55" s="119">
        <v>45819.963506944441</v>
      </c>
    </row>
    <row r="56" spans="1:18" x14ac:dyDescent="0.25">
      <c r="A56" s="117" t="s">
        <v>269</v>
      </c>
      <c r="B56" s="117" t="s">
        <v>229</v>
      </c>
      <c r="C56" s="117">
        <v>35.17</v>
      </c>
      <c r="D56" s="117">
        <v>35.200000000000003</v>
      </c>
      <c r="E56" s="117">
        <v>36.229999999999997</v>
      </c>
      <c r="F56" s="117">
        <v>35.479999999999997</v>
      </c>
      <c r="G56" s="117">
        <v>33.81</v>
      </c>
      <c r="H56" s="117">
        <v>35.200000000000003</v>
      </c>
      <c r="I56" s="117">
        <v>33.74</v>
      </c>
      <c r="J56" s="117">
        <v>36.65</v>
      </c>
      <c r="K56" s="117">
        <v>8.9999999999999993E-3</v>
      </c>
      <c r="L56" s="117">
        <v>1.12E-2</v>
      </c>
      <c r="M56" s="117">
        <v>1.14E-2</v>
      </c>
      <c r="N56" s="117">
        <v>1.11E-2</v>
      </c>
      <c r="O56" s="117">
        <v>0.23</v>
      </c>
      <c r="P56" s="117" t="s">
        <v>65</v>
      </c>
      <c r="Q56" s="117" t="s">
        <v>285</v>
      </c>
      <c r="R56" s="119">
        <v>45820.736759259256</v>
      </c>
    </row>
  </sheetData>
  <conditionalFormatting sqref="A1:XFD1">
    <cfRule type="expression" dxfId="26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2025-06-12T15:53:21Z</dcterms:modified>
</cp:coreProperties>
</file>