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55D97C51-8720-4B7E-8F01-CA9ECA89C568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70" i="1" l="1" a="1"/>
  <c r="BD170" i="1" s="1"/>
  <c r="BA170" i="1" a="1"/>
  <c r="BA170" i="1" s="1"/>
  <c r="AD49" i="1" s="1"/>
  <c r="AY170" i="1" a="1"/>
  <c r="AY170" i="1" s="1"/>
  <c r="AW170" i="1" a="1"/>
  <c r="AW170" i="1" s="1"/>
  <c r="AO170" i="1" a="1"/>
  <c r="AO170" i="1" s="1"/>
  <c r="AM170" i="1" a="1"/>
  <c r="AM170" i="1" s="1"/>
  <c r="AQ170" i="1" a="1"/>
  <c r="AQ170" i="1" s="1"/>
  <c r="AJ170" i="1" a="1"/>
  <c r="AJ170" i="1" s="1"/>
  <c r="AD46" i="1"/>
  <c r="BB47" i="1"/>
  <c r="AG77" i="1"/>
  <c r="AD47" i="1" s="1"/>
  <c r="AD48" i="1" s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C55" i="1"/>
  <c r="BJ78" i="1"/>
  <c r="BH79" i="1" s="1"/>
  <c r="BJ80" i="1" s="1"/>
  <c r="AF63" i="1"/>
  <c r="AF60" i="1"/>
  <c r="BG59" i="1"/>
  <c r="AG54" i="1"/>
  <c r="AF46" i="1" l="1"/>
  <c r="BG7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<sst xmlns="http://schemas.openxmlformats.org/spreadsheetml/2006/main" count="380" uniqueCount="222">
  <si>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</si>
  <si>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</si>
  <si>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</si>
  <si>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</si>
  <si>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</si>
  <si>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</si>
  <si>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</si>
  <si>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</si>
  <si>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</si>
  <si>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</si>
  <si>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</si>
  <si>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</si>
  <si>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</si>
  <si>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</si>
  <si>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</si>
  <si>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</si>
  <si>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</si>
  <si>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</si>
  <si>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</si>
  <si>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</si>
  <si>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</si>
  <si>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</si>
  <si>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</si>
  <si>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</si>
  <si>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</si>
  <si>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</si>
  <si>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</si>
  <si>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</si>
  <si>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</si>
  <si>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</si>
  <si>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</si>
  <si>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</si>
  <si>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</si>
  <si>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</si>
  <si>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</si>
  <si>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</si>
  <si>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</si>
  <si>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</si>
  <si>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</si>
  <si>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</si>
  <si>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</si>
  <si>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</si>
  <si>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</si>
  <si>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</si>
  <si>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</si>
  <si>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</si>
  <si>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</si>
  <si>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</si>
  <si>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</si>
  <si>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</si>
  <si>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</si>
  <si>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</si>
  <si>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</si>
  <si>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</si>
  <si>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</si>
  <si>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</si>
  <si>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</si>
  <si>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</si>
  <si>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</si>
  <si>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</si>
  <si>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</si>
  <si>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</si>
  <si>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</si>
  <si>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</si>
  <si>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</si>
  <si>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</si>
  <si>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</si>
  <si>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</si>
  <si>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</si>
  <si>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</si>
  <si>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</si>
  <si>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</si>
  <si>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</si>
  <si>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</si>
  <si>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</si>
  <si>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</si>
  <si>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</si>
  <si>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</si>
  <si>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</si>
  <si>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</si>
  <si>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</si>
  <si>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</si>
  <si>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</si>
  <si>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</si>
  <si>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</si>
  <si>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</si>
  <si>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</si>
  <si>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</si>
  <si>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</si>
  <si>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</si>
  <si>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</si>
  <si>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</si>
  <si>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</si>
  <si>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</si>
  <si>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</si>
  <si>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</si>
  <si>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</si>
  <si>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</si>
  <si>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</si>
  <si>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</si>
  <si>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</si>
  <si>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</si>
  <si>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</si>
  <si>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</si>
  <si>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</si>
  <si>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</si>
  <si>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</si>
  <si>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</si>
  <si>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</si>
  <si>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</si>
  <si>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</si>
  <si>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</si>
  <si>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</si>
  <si>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</si>
  <si>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</si>
  <si>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</si>
  <si>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</si>
  <si>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</si>
  <si>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</si>
  <si>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</si>
  <si>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</si>
  <si>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</si>
  <si>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</si>
  <si>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</si>
  <si>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</si>
  <si>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</si>
  <si>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</si>
  <si>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</si>
  <si>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</si>
  <si>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</si>
  <si>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</si>
  <si>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</si>
  <si>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</si>
  <si>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</si>
  <si>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</si>
  <si>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</si>
  <si>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</si>
  <si>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</si>
  <si>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</si>
  <si>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</si>
  <si>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</si>
  <si>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</si>
  <si>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</si>
  <si>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</si>
  <si>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</si>
  <si>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</si>
  <si>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</si>
  <si>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</si>
  <si>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</si>
  <si>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</si>
  <si>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</si>
  <si>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</si>
  <si>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</si>
  <si>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</si>
  <si>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</si>
  <si>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</si>
  <si>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</si>
  <si>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</si>
  <si>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</si>
  <si>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4321-7</t>
  </si>
  <si>
    <t>4321-8</t>
  </si>
  <si>
    <t>4321-9</t>
  </si>
  <si>
    <t>4321-10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</si>
  <si>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</si>
  <si>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</si>
  <si>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</si>
  <si>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</si>
  <si>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</si>
  <si>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</si>
  <si>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</si>
  <si>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</si>
  <si>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</si>
  <si>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</si>
  <si>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</si>
  <si>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</si>
  <si>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</si>
  <si>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</si>
  <si>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</si>
  <si>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</si>
  <si>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</si>
  <si>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</si>
  <si>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</si>
  <si>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</si>
  <si>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090625_Matin_NicolasBoulais</t>
  </si>
  <si>
    <t>4321-12</t>
  </si>
  <si>
    <t>4321-13</t>
  </si>
  <si>
    <t>4321-14</t>
  </si>
  <si>
    <t>4321-15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</si>
  <si>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</si>
  <si>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</si>
  <si>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</si>
  <si>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</si>
  <si>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</si>
  <si>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</si>
  <si>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</si>
  <si>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</si>
  <si>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4321-16</t>
  </si>
  <si>
    <t>Enroulée Net</t>
  </si>
  <si>
    <t>4321-17</t>
  </si>
  <si>
    <t>4321-18</t>
  </si>
  <si>
    <t>Sur l'OF</t>
  </si>
  <si>
    <t>d</t>
  </si>
  <si>
    <t>Sur le Poste</t>
  </si>
  <si>
    <t>100625_Matin_NicolasBoulais</t>
  </si>
  <si>
    <t>4321-19</t>
  </si>
  <si>
    <t>4321-20</t>
  </si>
  <si>
    <t>32-100625-2153</t>
  </si>
  <si>
    <t>32-100625-2158</t>
  </si>
  <si>
    <t>100625_Matin_AnthonyMariz</t>
  </si>
  <si>
    <t>4321-21</t>
  </si>
  <si>
    <t>100625_Matin_AurélienPietrois</t>
  </si>
  <si>
    <t>4321-22</t>
  </si>
  <si>
    <t>lg</t>
  </si>
  <si>
    <t>3m : 7,53 4,59 5,65 6,81 6,31 7,06</t>
  </si>
  <si>
    <t>8m : 5,57 5,97 4,90 4,46 5,00 4,64</t>
  </si>
  <si>
    <t>13m : 5,92 5,22 6,41 4,74 5,46 4,81</t>
  </si>
  <si>
    <t>18m : 6,13 4,90 7,40 4,40 6,12 6,50</t>
  </si>
  <si>
    <t>23m : 6,49 6,02 5,65 6,14 7,05 4,66</t>
  </si>
  <si>
    <t>28m : 4,74 6,91 5,87 5,01 6,57 5,85</t>
  </si>
  <si>
    <t>100625_Après-Midi_AurélienPietrois</t>
  </si>
  <si>
    <t>NON</t>
  </si>
  <si>
    <t>100625_Nuit_AurélienPietrois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</si>
</sst>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36"/>
      <color theme="3" tint="0.249977111117893"/>
      <name val="Aptos Narrow"/>
      <family val="2"/>
      <scheme val="minor"/>
    </font>
    <font>
      <b/>
      <sz val="28"/>
      <color theme="3" tint="0.249977111117893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vertical="center"/>
    </xf>
    <xf numFmtId="1" fontId="13" fillId="4" borderId="0" xfId="0" applyNumberFormat="1" applyFont="1" applyFill="1" applyAlignment="1">
      <alignment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20" fillId="1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9" fontId="36" fillId="4" borderId="0" xfId="0" applyNumberFormat="1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12" fillId="3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9" fontId="37" fillId="4" borderId="0" xfId="0" applyNumberFormat="1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15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B050"/>
            </a:solidFill>
            <a:ln>
              <a:noFill/>
              <a:extLst>
                <a:ext uri="{C807C97D-BFC1-408E-A445-0C87EB9F89A2}">
                  <ask:lineSketchStyleProps xmlns:ask="http://schemas.microsoft.com/office/drawing/2018/sketchyshapes">
                    <ask:type>
                      <ask:lineSketchFreehand/>
                    </ask:type>
                  </ask:lineSketchStyleProps>
                </a:ext>
              </a:extLst>
            </a:ln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Freehand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1-81E5-4FFC-8FF3-F014D5F211C9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Freehand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3-81E5-4FFC-8FF3-F014D5F211C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  <a:extLst>
                  <a:ext uri="{C807C97D-BFC1-408E-A445-0C87EB9F89A2}">
                    <ask:lineSketchStyleProps xmlns:ask="http://schemas.microsoft.com/office/drawing/2018/sketchyshapes">
                      <ask:type>
                        <ask:lineSketchFreehand/>
                      </ask:type>
                    </ask:lineSketchStyleProps>
                  </a:ext>
                </a:extLst>
              </a:ln>
              <a:effectLst/>
            </c:spPr>
            <c:extLst>
              <c:ext xmlns:c16="http://schemas.microsoft.com/office/drawing/2014/chart" uri="{C3380CC4-5D6E-409C-BE32-E72D297353CC}">
                <c16:uniqueId val="{00000005-81E5-4FFC-8FF3-F014D5F211C9}"/>
              </c:ext>
            </c:extLst>
          </c:dPt>
          <c:val>
            <c:numRef>
              <c:f>params!$N$1:$N$3</c:f>
              <c:numCache>
                <c:formatCode>General</c:formatCode>
                <c:ptCount val="3"/>
                <c:pt idx="0">
                  <c:v>0</c:v>
                </c:pt>
                <c:pt idx="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E5-4FFC-8FF3-F014D5F21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161925</xdr:colOff>
          <xdr:row>70</xdr:row>
          <xdr:rowOff>133350</xdr:rowOff>
        </xdr:from>
        <xdr:to>
          <xdr:col>67</xdr:col>
          <xdr:colOff>295275</xdr:colOff>
          <xdr:row>78</xdr:row>
          <xdr:rowOff>66675</xdr:rowOff>
        </xdr:to>
        <xdr:grpSp>
          <xdr:nvGrpSpPr>
            <xdr:cNvPr id="14" name="Groupe 13">
              <a:extLst>
                <a:ext uri="{FF2B5EF4-FFF2-40B4-BE49-F238E27FC236}">
                  <a16:creationId xmlns:a16="http://schemas.microsoft.com/office/drawing/2014/main" id="{EF7BF2D1-1876-D48E-D6CF-1B24D995C31F}"/>
                </a:ext>
              </a:extLst>
            </xdr:cNvPr>
            <xdr:cNvGrpSpPr/>
          </xdr:nvGrpSpPr>
          <xdr:grpSpPr>
            <a:xfrm>
              <a:off x="16992600" y="13630275"/>
              <a:ext cx="1209675" cy="1504950"/>
              <a:chOff x="14125575" y="16792575"/>
              <a:chExt cx="1209675" cy="150495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125575" y="17297400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values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25575" y="1781175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127" name="Button 103" hidden="1">
                <a:extLst>
                  <a:ext uri="{63B3BB69-23CF-44E3-9099-C40C66FF867C}">
                    <a14:compatExt spid="_x0000_s1127"/>
                  </a:ext>
                  <a:ext uri="{FF2B5EF4-FFF2-40B4-BE49-F238E27FC236}">
                    <a16:creationId xmlns:a16="http://schemas.microsoft.com/office/drawing/2014/main" id="{00000000-0008-0000-0000-000067040000}"/>
                  </a:ext>
                </a:extLst>
              </xdr:cNvPr>
              <xdr:cNvSpPr/>
            </xdr:nvSpPr>
            <xdr:spPr bwMode="auto">
              <a:xfrm>
                <a:off x="14125576" y="16792575"/>
                <a:ext cx="1200150" cy="476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ctrls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CopyDataToFirstEmptyRow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>
    <xdr:from>
      <xdr:col>29</xdr:col>
      <xdr:colOff>647701</xdr:colOff>
      <xdr:row>43</xdr:row>
      <xdr:rowOff>114300</xdr:rowOff>
    </xdr:from>
    <xdr:to>
      <xdr:col>35</xdr:col>
      <xdr:colOff>9526</xdr:colOff>
      <xdr:row>50</xdr:row>
      <xdr:rowOff>114300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55F4D6BD-F4D3-4EB8-A267-E33F33C70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41" zoomScaleNormal="100" workbookViewId="0">
      <selection activeCell="AD58" sqref="AD58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55" x14ac:dyDescent="0.25">
      <c r="AB44" s="11"/>
      <c r="AC44" s="10" t="s">
        <v>192</v>
      </c>
      <c r="AD44" s="11"/>
      <c r="AE44" s="11"/>
      <c r="AF44" s="11"/>
      <c r="AG44" s="11"/>
      <c r="AH44" s="11"/>
      <c r="AK44" s="91"/>
      <c r="AL44" s="74" t="s">
        <v>189</v>
      </c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</row>
    <row r="45" spans="28:55" x14ac:dyDescent="0.25">
      <c r="AB45" s="12"/>
      <c r="AC45" s="100"/>
      <c r="AD45" s="101"/>
      <c r="AE45" s="14"/>
      <c r="AF45" s="100"/>
      <c r="AG45" s="10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</row>
    <row r="46" spans="28:55" ht="15.75" thickBot="1" x14ac:dyDescent="0.3">
      <c r="AB46" s="12"/>
      <c r="AC46" s="100" t="s">
        <v>193</v>
      </c>
      <c r="AD46" s="102">
        <f>shiftDuree</f>
        <v>480</v>
      </c>
      <c r="AE46" s="14"/>
      <c r="AF46" s="152">
        <f>AD49/AD48</f>
        <v>-1.4534883720930232E-2</v>
      </c>
      <c r="AG46" s="152"/>
      <c r="AH46" s="12"/>
      <c r="AK46" s="1"/>
      <c r="AL46" s="134" t="s">
        <v>177</v>
      </c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2"/>
      <c r="AY46" s="12" t="s">
        <v>179</v>
      </c>
      <c r="AZ46" s="12"/>
      <c r="BA46" s="12" t="s">
        <v>17</v>
      </c>
      <c r="BB46" s="147"/>
      <c r="BC46" s="147"/>
    </row>
    <row r="47" spans="28:55" ht="15.75" thickBot="1" x14ac:dyDescent="0.3">
      <c r="AB47" s="12"/>
      <c r="AC47" s="100" t="s">
        <v>194</v>
      </c>
      <c r="AD47" s="102">
        <f>shiftDuree-AG77</f>
        <v>480</v>
      </c>
      <c r="AE47" s="14"/>
      <c r="AF47" s="152"/>
      <c r="AG47" s="152"/>
      <c r="AH47" s="12"/>
      <c r="AK47" s="1"/>
      <c r="AL47" s="12"/>
      <c r="AM47" s="142"/>
      <c r="AN47" s="143"/>
      <c r="AO47" s="144"/>
      <c r="AP47" s="12"/>
      <c r="AQ47" s="148"/>
      <c r="AR47" s="148"/>
      <c r="AS47" s="148"/>
      <c r="AT47" s="148"/>
      <c r="AU47" s="148"/>
      <c r="AV47" s="148"/>
      <c r="AW47" s="148"/>
      <c r="AX47" s="12"/>
      <c r="AY47" s="41"/>
      <c r="AZ47" s="12" t="s">
        <v>176</v>
      </c>
      <c r="BA47" s="41"/>
      <c r="BB47" s="150">
        <f>ROUND(AY47*60+BA47,0)</f>
        <v>0</v>
      </c>
      <c r="BC47" s="138"/>
    </row>
    <row r="48" spans="28:55" ht="15.75" customHeight="1" thickBot="1" x14ac:dyDescent="0.3">
      <c r="AB48" s="12"/>
      <c r="AC48" s="100" t="s">
        <v>195</v>
      </c>
      <c r="AD48" s="102">
        <f>ROUND(AD47*$BS$58,2)</f>
        <v>137.6</v>
      </c>
      <c r="AE48" s="100"/>
      <c r="AF48" s="152"/>
      <c r="AG48" s="152"/>
      <c r="AH48" s="12"/>
      <c r="AK48" s="1"/>
      <c r="AL48" s="134" t="s">
        <v>178</v>
      </c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2"/>
      <c r="AY48" s="12"/>
      <c r="AZ48" s="12"/>
      <c r="BA48" s="12"/>
      <c r="BB48" s="138"/>
      <c r="BC48" s="138"/>
    </row>
    <row r="49" spans="28:72" ht="15.75" customHeight="1" thickBot="1" x14ac:dyDescent="0.3">
      <c r="AB49" s="12"/>
      <c r="AC49" s="100" t="s">
        <v>197</v>
      </c>
      <c r="AD49" s="102">
        <f>SUM(BA170:BA213)-shiftLgEnrouleePrisePoste+shiftLgEnrouleeFinPoste</f>
        <v>-2</v>
      </c>
      <c r="AE49" s="100"/>
      <c r="AF49" s="152"/>
      <c r="AG49" s="152"/>
      <c r="AH49" s="12"/>
      <c r="AK49" s="1"/>
      <c r="AL49" s="34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2"/>
      <c r="AY49" s="41"/>
      <c r="AZ49" s="12" t="s">
        <v>175</v>
      </c>
      <c r="BA49" s="12"/>
      <c r="BB49" s="138">
        <f>ROUND((AY49/BR58*60),0)</f>
        <v>0</v>
      </c>
      <c r="BC49" s="138"/>
    </row>
    <row r="50" spans="28:72" ht="15" customHeight="1" x14ac:dyDescent="0.25">
      <c r="AB50" s="12"/>
      <c r="AC50" s="14"/>
      <c r="AD50" s="14"/>
      <c r="AE50" s="14"/>
      <c r="AF50" s="128"/>
      <c r="AG50" s="128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73"/>
      <c r="AL52" s="74" t="s">
        <v>1</v>
      </c>
      <c r="AM52" s="73"/>
      <c r="AN52" s="74"/>
      <c r="AO52" s="73"/>
      <c r="AP52" s="73"/>
      <c r="AQ52" s="73"/>
      <c r="AR52" s="151" t="s">
        <v>2</v>
      </c>
      <c r="AS52" s="151"/>
      <c r="AT52" s="151"/>
      <c r="AU52" s="151"/>
      <c r="AV52" s="151"/>
      <c r="AW52" s="73"/>
      <c r="AX52" s="73"/>
      <c r="AY52" s="73"/>
      <c r="AZ52" s="75"/>
      <c r="BA52" s="73"/>
      <c r="BB52" s="75" t="s">
        <v>3</v>
      </c>
      <c r="BC52" s="73"/>
      <c r="BD52" s="17"/>
      <c r="BE52" s="2"/>
      <c r="BF52" s="78"/>
      <c r="BG52" s="79" t="s">
        <v>90</v>
      </c>
      <c r="BH52" s="79"/>
      <c r="BI52" s="79"/>
      <c r="BJ52" s="79"/>
      <c r="BK52" s="79"/>
      <c r="BL52" s="78"/>
      <c r="BN52" s="78"/>
      <c r="BO52" s="79" t="s">
        <v>174</v>
      </c>
      <c r="BP52" s="79"/>
      <c r="BQ52" s="79"/>
      <c r="BR52" s="79"/>
      <c r="BS52" s="79"/>
      <c r="BT52" s="78"/>
    </row>
    <row r="53" spans="28:72" ht="15.75" thickBot="1" x14ac:dyDescent="0.3">
      <c r="AB53" s="1"/>
      <c r="AC53" s="43"/>
      <c r="AD53" s="90">
        <f>_xlfn.ISOWEEKNUM(shiftDate)</f>
        <v>41</v>
      </c>
      <c r="AE53" s="90"/>
      <c r="AF53" s="90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103" t="s">
        <v>4</v>
      </c>
      <c r="BH53" s="44" t="s">
        <v>42</v>
      </c>
      <c r="BI53" s="4"/>
      <c r="BJ53" s="4"/>
      <c r="BK53" s="4"/>
      <c r="BL53" s="20"/>
      <c r="BN53" s="58"/>
      <c r="BO53" s="138" t="s">
        <v>165</v>
      </c>
      <c r="BP53" s="138"/>
      <c r="BQ53" s="100"/>
      <c r="BR53" s="14" t="s">
        <v>166</v>
      </c>
      <c r="BS53" s="14" t="s">
        <v>169</v>
      </c>
      <c r="BT53" s="58"/>
    </row>
    <row r="54" spans="28:72" ht="15.75" thickBot="1" x14ac:dyDescent="0.3">
      <c r="AB54" s="1"/>
      <c r="AC54" s="5" t="s">
        <v>5</v>
      </c>
      <c r="AD54" s="139">
        <v>45936</v>
      </c>
      <c r="AE54" s="140"/>
      <c r="AF54" s="141"/>
      <c r="AG54" s="44">
        <f>IF(shiftDate&lt;&gt;"",AD54-DATE(YEAR(AD54),1,0),"")</f>
        <v>279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103" t="s">
        <v>6</v>
      </c>
      <c r="BH54" s="86" t="s">
        <v>7</v>
      </c>
      <c r="BI54" s="4"/>
      <c r="BJ54" s="4"/>
      <c r="BK54" s="4"/>
      <c r="BL54" s="20"/>
      <c r="BN54" s="58"/>
      <c r="BO54" s="100"/>
      <c r="BP54" s="100" t="s">
        <v>167</v>
      </c>
      <c r="BQ54" s="100"/>
      <c r="BR54" s="102"/>
      <c r="BS54" s="102"/>
      <c r="BT54" s="58"/>
    </row>
    <row r="55" spans="28:72" ht="15.75" thickBot="1" x14ac:dyDescent="0.3">
      <c r="AB55" s="1"/>
      <c r="AC55" s="66" t="str">
        <f>IF(shiftDate&lt;&gt;"",CONCATENATE(TEXT(AD54,"JJMMAA"),"_",shiftVaccation,"_",SUBSTITUTE(shiftOperateur," ","")),"")</f>
        <v>061025_Après-Midi_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5">
        <v>34.119999999999997</v>
      </c>
      <c r="AP55" s="27"/>
      <c r="AQ55" s="1"/>
      <c r="AR55" s="1"/>
      <c r="AS55" s="24"/>
      <c r="AT55" s="41">
        <v>0.26</v>
      </c>
      <c r="AU55" s="25"/>
      <c r="AV55" s="1"/>
      <c r="AW55" s="1"/>
      <c r="AX55" s="26"/>
      <c r="AY55" s="55">
        <v>33.409999999999997</v>
      </c>
      <c r="AZ55" s="27"/>
      <c r="BA55" s="28" t="s">
        <v>8</v>
      </c>
      <c r="BB55" s="1"/>
      <c r="BC55" s="1"/>
      <c r="BD55" s="17"/>
      <c r="BE55" s="2"/>
      <c r="BF55" s="20"/>
      <c r="BG55" s="103" t="s">
        <v>9</v>
      </c>
      <c r="BH55" s="87">
        <v>3</v>
      </c>
      <c r="BI55" s="4"/>
      <c r="BJ55" s="4"/>
      <c r="BK55" s="4"/>
      <c r="BL55" s="20"/>
      <c r="BN55" s="58"/>
      <c r="BO55" s="100"/>
      <c r="BP55" s="100" t="s">
        <v>168</v>
      </c>
      <c r="BQ55" s="100"/>
      <c r="BR55" s="102"/>
      <c r="BS55" s="102"/>
      <c r="BT55" s="58"/>
    </row>
    <row r="56" spans="28:72" ht="15.75" thickBot="1" x14ac:dyDescent="0.3">
      <c r="AB56" s="1"/>
      <c r="AC56" s="5" t="s">
        <v>10</v>
      </c>
      <c r="AD56" s="142"/>
      <c r="AE56" s="143"/>
      <c r="AF56" s="144"/>
      <c r="AG56" s="12"/>
      <c r="AH56" s="1"/>
      <c r="AI56" s="2"/>
      <c r="AJ56" s="17"/>
      <c r="AK56" s="1"/>
      <c r="AL56" s="1"/>
      <c r="AM56" s="5" t="s">
        <v>11</v>
      </c>
      <c r="AN56" s="26"/>
      <c r="AO56" s="56">
        <v>35.56</v>
      </c>
      <c r="AP56" s="27"/>
      <c r="AQ56" s="1"/>
      <c r="AR56" s="1"/>
      <c r="AS56" s="29"/>
      <c r="AT56" s="30"/>
      <c r="AU56" s="31"/>
      <c r="AV56" s="1"/>
      <c r="AW56" s="1"/>
      <c r="AX56" s="26"/>
      <c r="AY56" s="56">
        <v>36.21</v>
      </c>
      <c r="AZ56" s="27"/>
      <c r="BA56" s="28" t="s">
        <v>11</v>
      </c>
      <c r="BB56" s="1"/>
      <c r="BC56" s="1"/>
      <c r="BD56" s="17"/>
      <c r="BE56" s="2"/>
      <c r="BF56" s="20"/>
      <c r="BG56" s="103" t="s">
        <v>43</v>
      </c>
      <c r="BH56" s="87">
        <v>0</v>
      </c>
      <c r="BI56" s="4"/>
      <c r="BJ56" s="4"/>
      <c r="BK56" s="4"/>
      <c r="BL56" s="20"/>
      <c r="BN56" s="58"/>
      <c r="BO56" s="100"/>
      <c r="BP56" s="100" t="s">
        <v>170</v>
      </c>
      <c r="BQ56" s="100"/>
      <c r="BR56" s="102"/>
      <c r="BS56" s="102"/>
      <c r="BT56" s="58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7">
        <v>33.61</v>
      </c>
      <c r="AP57" s="27"/>
      <c r="AQ57" s="1"/>
      <c r="AR57" s="1"/>
      <c r="AS57" s="70"/>
      <c r="AT57" s="70"/>
      <c r="AU57" s="70"/>
      <c r="AV57" s="1"/>
      <c r="AW57" s="1"/>
      <c r="AX57" s="26"/>
      <c r="AY57" s="57">
        <v>35.450000000000003</v>
      </c>
      <c r="AZ57" s="27"/>
      <c r="BA57" s="28" t="s">
        <v>12</v>
      </c>
      <c r="BB57" s="1"/>
      <c r="BC57" s="1"/>
      <c r="BD57" s="17"/>
      <c r="BE57" s="2"/>
      <c r="BF57" s="20"/>
      <c r="BG57" s="103" t="s">
        <v>13</v>
      </c>
      <c r="BH57" s="86" t="s">
        <v>7</v>
      </c>
      <c r="BI57" s="4"/>
      <c r="BJ57" s="4"/>
      <c r="BK57" s="4"/>
      <c r="BL57" s="20"/>
      <c r="BN57" s="58"/>
      <c r="BO57" s="138" t="s">
        <v>171</v>
      </c>
      <c r="BP57" s="138"/>
      <c r="BQ57" s="100"/>
      <c r="BR57" s="14" t="s">
        <v>172</v>
      </c>
      <c r="BS57" s="14" t="s">
        <v>173</v>
      </c>
      <c r="BT57" s="58"/>
    </row>
    <row r="58" spans="28:72" ht="15.75" thickBot="1" x14ac:dyDescent="0.25">
      <c r="AB58" s="1"/>
      <c r="AC58" s="5" t="s">
        <v>14</v>
      </c>
      <c r="AD58" s="41" t="s">
        <v>55</v>
      </c>
      <c r="AE58" s="12"/>
      <c r="AF58" s="42">
        <v>0.33333333333333331</v>
      </c>
      <c r="AG58" s="44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92">
        <f>IF(COUNT(AO55:AO57)=3,ROUND(AVERAGE(AO55:AO57),2),"")</f>
        <v>34.43</v>
      </c>
      <c r="AP58" s="33"/>
      <c r="AQ58" s="1"/>
      <c r="AR58" s="1"/>
      <c r="AS58" s="45" t="s">
        <v>64</v>
      </c>
      <c r="AT58" s="83" t="s">
        <v>65</v>
      </c>
      <c r="AU58" s="1"/>
      <c r="AV58" s="1"/>
      <c r="AW58" s="1"/>
      <c r="AX58" s="32"/>
      <c r="AY58" s="92">
        <f>IF(COUNT(AY55:AY57)=3,ROUND(AVERAGE(AY55:AY57),2),"")</f>
        <v>35.020000000000003</v>
      </c>
      <c r="AZ58" s="33"/>
      <c r="BA58" s="1"/>
      <c r="BB58" s="1"/>
      <c r="BC58" s="1"/>
      <c r="BD58" s="17"/>
      <c r="BE58" s="2"/>
      <c r="BF58" s="20"/>
      <c r="BG58" s="103" t="s">
        <v>16</v>
      </c>
      <c r="BH58" s="87">
        <v>0</v>
      </c>
      <c r="BI58" s="4"/>
      <c r="BJ58" s="67" t="s">
        <v>41</v>
      </c>
      <c r="BK58" s="68" t="s">
        <v>17</v>
      </c>
      <c r="BL58" s="20"/>
      <c r="BN58" s="58"/>
      <c r="BO58" s="100"/>
      <c r="BP58" s="100" t="s">
        <v>164</v>
      </c>
      <c r="BQ58" s="100"/>
      <c r="BR58" s="102">
        <v>17.2</v>
      </c>
      <c r="BS58" s="14">
        <f>BR58/60</f>
        <v>0.28666666666666668</v>
      </c>
      <c r="BT58" s="58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6"/>
      <c r="AR59" s="76"/>
      <c r="AS59" s="76"/>
      <c r="AT59" s="66" t="s">
        <v>159</v>
      </c>
      <c r="AU59" s="77"/>
      <c r="AV59" s="76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103" t="str">
        <f>CONCATENATE("ep &lt; ",BK59)</f>
        <v>ep &lt; 3,5</v>
      </c>
      <c r="BH59" s="87">
        <v>3</v>
      </c>
      <c r="BI59" s="4"/>
      <c r="BJ59" s="88">
        <v>4.2</v>
      </c>
      <c r="BK59" s="89">
        <v>3.5</v>
      </c>
      <c r="BL59" s="20"/>
      <c r="BN59" s="58"/>
      <c r="BO59" s="58"/>
      <c r="BP59" s="58"/>
      <c r="BQ59" s="58"/>
      <c r="BR59" s="58"/>
      <c r="BS59" s="58"/>
      <c r="BT59" s="58"/>
    </row>
    <row r="60" spans="28:72" x14ac:dyDescent="0.25">
      <c r="AB60" s="1"/>
      <c r="AC60" s="134" t="s">
        <v>40</v>
      </c>
      <c r="AD60" s="134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73"/>
      <c r="AL60" s="74" t="s">
        <v>36</v>
      </c>
      <c r="AM60" s="73"/>
      <c r="AN60" s="73"/>
      <c r="AO60" s="73"/>
      <c r="AP60" s="73"/>
      <c r="AQ60" s="73"/>
      <c r="AR60" s="146"/>
      <c r="AS60" s="146"/>
      <c r="AT60" s="146"/>
      <c r="AU60" s="146"/>
      <c r="AV60" s="146"/>
      <c r="AW60" s="73"/>
      <c r="AX60" s="73"/>
      <c r="AY60" s="73"/>
      <c r="AZ60" s="73"/>
      <c r="BA60" s="73"/>
      <c r="BB60" s="75" t="s">
        <v>37</v>
      </c>
      <c r="BC60" s="73"/>
      <c r="BD60" s="17"/>
      <c r="BE60" s="2"/>
      <c r="BF60" s="20"/>
      <c r="BG60" s="103"/>
      <c r="BH60" s="13" t="s">
        <v>17</v>
      </c>
      <c r="BI60" s="131" t="s">
        <v>18</v>
      </c>
      <c r="BJ60" s="131"/>
      <c r="BK60" s="13" t="s">
        <v>19</v>
      </c>
      <c r="BL60" s="20"/>
      <c r="BN60" s="58"/>
      <c r="BO60" s="58"/>
      <c r="BP60" s="59"/>
      <c r="BQ60" s="58"/>
      <c r="BR60" s="94"/>
      <c r="BS60" s="94"/>
      <c r="BT60" s="58"/>
    </row>
    <row r="61" spans="28:72" ht="15.75" thickBot="1" x14ac:dyDescent="0.25">
      <c r="AB61" s="1"/>
      <c r="AC61" s="145" t="s">
        <v>71</v>
      </c>
      <c r="AD61" s="145"/>
      <c r="AE61" s="96"/>
      <c r="AF61" s="95">
        <v>2</v>
      </c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9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103" t="s">
        <v>20</v>
      </c>
      <c r="BH61" s="105">
        <v>20</v>
      </c>
      <c r="BI61" s="132">
        <v>30</v>
      </c>
      <c r="BJ61" s="132"/>
      <c r="BK61" s="105">
        <v>50</v>
      </c>
      <c r="BL61" s="20"/>
      <c r="BN61" s="58"/>
      <c r="BO61" s="58"/>
      <c r="BP61" s="59"/>
      <c r="BQ61" s="58"/>
      <c r="BR61" s="94"/>
      <c r="BS61" s="94"/>
      <c r="BT61" s="58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71" t="s">
        <v>66</v>
      </c>
      <c r="AN62" s="23"/>
      <c r="AO62" s="1"/>
      <c r="AP62" s="21"/>
      <c r="AQ62" s="71" t="s">
        <v>67</v>
      </c>
      <c r="AR62" s="23"/>
      <c r="AS62" s="1"/>
      <c r="AT62" s="69"/>
      <c r="AU62" s="1"/>
      <c r="AV62" s="21"/>
      <c r="AW62" s="71" t="s">
        <v>68</v>
      </c>
      <c r="AX62" s="23"/>
      <c r="AY62" s="1"/>
      <c r="AZ62" s="21"/>
      <c r="BA62" s="71" t="s">
        <v>69</v>
      </c>
      <c r="BB62" s="23"/>
      <c r="BC62" s="1"/>
      <c r="BD62" s="17"/>
      <c r="BE62" s="2"/>
      <c r="BF62" s="20"/>
      <c r="BG62" s="103" t="s">
        <v>21</v>
      </c>
      <c r="BH62" s="105">
        <v>0.14000000000000001</v>
      </c>
      <c r="BI62" s="132">
        <v>0.2</v>
      </c>
      <c r="BJ62" s="132"/>
      <c r="BK62" s="105">
        <v>0.35</v>
      </c>
      <c r="BL62" s="20"/>
      <c r="BN62" s="58"/>
      <c r="BO62" s="59"/>
      <c r="BP62" s="59"/>
      <c r="BQ62" s="58"/>
      <c r="BR62" s="94"/>
      <c r="BS62" s="94"/>
      <c r="BT62" s="58"/>
    </row>
    <row r="63" spans="28:72" ht="15.75" thickBot="1" x14ac:dyDescent="0.3">
      <c r="AB63" s="1"/>
      <c r="AC63" s="134" t="s">
        <v>44</v>
      </c>
      <c r="AD63" s="134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1">
        <v>1.0699999999999999E-2</v>
      </c>
      <c r="AN63" s="27"/>
      <c r="AO63" s="4">
        <f>IF(COUNT(masseSurfaciqueGG,masseSurfaciqueGC)=2,AVERAGE(masseSurfaciqueGG,masseSurfaciqueGC),"")</f>
        <v>1.1300000000000001E-2</v>
      </c>
      <c r="AP63" s="26"/>
      <c r="AQ63" s="41">
        <v>1.1900000000000001E-2</v>
      </c>
      <c r="AR63" s="27"/>
      <c r="AS63" s="1"/>
      <c r="AT63" s="19"/>
      <c r="AU63" s="1"/>
      <c r="AV63" s="26"/>
      <c r="AW63" s="41">
        <v>1.17E-2</v>
      </c>
      <c r="AX63" s="27"/>
      <c r="AY63" s="4">
        <f>IF(COUNT(masseSurfaciqueDC,masseSurfaciqueDD)=2,AVERAGE(masseSurfaciqueDC,masseSurfaciqueDD),"")</f>
        <v>1.0700000000000001E-2</v>
      </c>
      <c r="AZ63" s="26"/>
      <c r="BA63" s="41">
        <v>9.7000000000000003E-3</v>
      </c>
      <c r="BB63" s="27"/>
      <c r="BC63" s="1"/>
      <c r="BD63" s="17"/>
      <c r="BE63" s="2"/>
      <c r="BF63" s="20"/>
      <c r="BG63" s="103" t="s">
        <v>22</v>
      </c>
      <c r="BH63" s="105">
        <v>72</v>
      </c>
      <c r="BI63" s="132">
        <v>81</v>
      </c>
      <c r="BJ63" s="132"/>
      <c r="BK63" s="105">
        <v>92</v>
      </c>
      <c r="BL63" s="20"/>
      <c r="BN63" s="58"/>
      <c r="BO63" s="58"/>
      <c r="BP63" s="59"/>
      <c r="BQ63" s="58"/>
      <c r="BR63" s="94"/>
      <c r="BS63" s="94"/>
      <c r="BT63" s="58"/>
    </row>
    <row r="64" spans="28:72" ht="15.75" thickBot="1" x14ac:dyDescent="0.3">
      <c r="AB64" s="1"/>
      <c r="AC64" s="145" t="s">
        <v>71</v>
      </c>
      <c r="AD64" s="145"/>
      <c r="AE64" s="96"/>
      <c r="AF64" s="95"/>
      <c r="AG64" s="18"/>
      <c r="AH64" s="1"/>
      <c r="AI64" s="2"/>
      <c r="AJ64" s="17"/>
      <c r="AK64" s="1"/>
      <c r="AL64" s="32"/>
      <c r="AM64" s="92">
        <f>masseSurfaciqueGG*4*2*1000</f>
        <v>85.6</v>
      </c>
      <c r="AN64" s="33"/>
      <c r="AO64" s="93">
        <f>AO63*4*2*1000</f>
        <v>90.4</v>
      </c>
      <c r="AP64" s="32"/>
      <c r="AQ64" s="92">
        <f>masseSurfaciqueGC*4*2*1000</f>
        <v>95.2</v>
      </c>
      <c r="AR64" s="33"/>
      <c r="AS64" s="1"/>
      <c r="AT64" s="19"/>
      <c r="AU64" s="1"/>
      <c r="AV64" s="32"/>
      <c r="AW64" s="92">
        <f>masseSurfaciqueDC*4*2*1000</f>
        <v>93.600000000000009</v>
      </c>
      <c r="AX64" s="33"/>
      <c r="AY64" s="93">
        <f>AY63*4*2*1000</f>
        <v>85.600000000000009</v>
      </c>
      <c r="AZ64" s="32"/>
      <c r="BA64" s="92">
        <f>masseSurfaciqueDD*4*2*1000</f>
        <v>77.600000000000009</v>
      </c>
      <c r="BB64" s="33"/>
      <c r="BC64" s="1"/>
      <c r="BD64" s="17"/>
      <c r="BE64" s="2"/>
      <c r="BF64" s="20"/>
      <c r="BG64" s="103" t="s">
        <v>23</v>
      </c>
      <c r="BH64" s="105">
        <v>8.9999999999999993E-3</v>
      </c>
      <c r="BI64" s="132">
        <v>1.1299999999999999E-2</v>
      </c>
      <c r="BJ64" s="132"/>
      <c r="BK64" s="105">
        <v>1.1900000000000001E-2</v>
      </c>
      <c r="BL64" s="20"/>
      <c r="BN64" s="58"/>
      <c r="BO64" s="58"/>
      <c r="BP64" s="59"/>
      <c r="BQ64" s="58"/>
      <c r="BR64" s="58"/>
      <c r="BS64" s="58"/>
      <c r="BT64" s="58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104"/>
      <c r="BH65" s="106"/>
      <c r="BI65" s="106"/>
      <c r="BJ65" s="106"/>
      <c r="BK65" s="106"/>
      <c r="BL65" s="20"/>
      <c r="BN65" s="58"/>
      <c r="BO65" s="58"/>
      <c r="BP65" s="58"/>
      <c r="BQ65" s="58"/>
      <c r="BR65" s="94"/>
      <c r="BS65" s="94"/>
      <c r="BT65" s="58"/>
    </row>
    <row r="66" spans="27:72" x14ac:dyDescent="0.25">
      <c r="AB66" s="1"/>
      <c r="AC66" s="134" t="s">
        <v>25</v>
      </c>
      <c r="AD66" s="134"/>
      <c r="AE66" s="134"/>
      <c r="AF66" s="134"/>
      <c r="AG66" s="134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4"/>
      <c r="AC67" s="136"/>
      <c r="AD67" s="136"/>
      <c r="AE67" s="136"/>
      <c r="AF67" s="136"/>
      <c r="AG67" s="136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6"/>
      <c r="AD68" s="136"/>
      <c r="AE68" s="136"/>
      <c r="AF68" s="136"/>
      <c r="AG68" s="136"/>
      <c r="AH68" s="1"/>
      <c r="AI68" s="2"/>
      <c r="AJ68" s="63"/>
      <c r="AK68" s="171">
        <v>1</v>
      </c>
      <c r="AL68" s="168"/>
      <c r="AM68" s="169"/>
      <c r="AN68" s="169"/>
      <c r="AO68" s="169"/>
      <c r="AP68" s="169"/>
      <c r="AQ68" s="169"/>
      <c r="AR68" s="168"/>
      <c r="AS68" s="172">
        <v>1</v>
      </c>
      <c r="AT68" s="64"/>
      <c r="AU68" s="172">
        <v>1</v>
      </c>
      <c r="AV68" s="168"/>
      <c r="AW68" s="169"/>
      <c r="AX68" s="169"/>
      <c r="AY68" s="169"/>
      <c r="AZ68" s="169"/>
      <c r="BA68" s="169"/>
      <c r="BB68" s="170"/>
      <c r="BC68" s="173">
        <v>1</v>
      </c>
      <c r="BD68" s="65"/>
      <c r="BE68" s="2"/>
      <c r="BF68" s="1"/>
      <c r="BG68" s="3"/>
      <c r="BH68" s="1"/>
      <c r="BI68" s="1"/>
      <c r="BJ68" s="4"/>
      <c r="BK68" s="45">
        <v>100</v>
      </c>
      <c r="BL68" s="1"/>
    </row>
    <row r="69" spans="27:72" ht="15.75" thickBot="1" x14ac:dyDescent="0.3">
      <c r="AB69" s="1"/>
      <c r="AC69" s="136"/>
      <c r="AD69" s="136"/>
      <c r="AE69" s="136"/>
      <c r="AF69" s="136"/>
      <c r="AG69" s="136"/>
      <c r="AH69" s="1"/>
      <c r="AI69" s="2"/>
      <c r="AJ69" s="63"/>
      <c r="AK69" s="171">
        <v>2</v>
      </c>
      <c r="AL69" s="168"/>
      <c r="AM69" s="169"/>
      <c r="AN69" s="169"/>
      <c r="AO69" s="169"/>
      <c r="AP69" s="169"/>
      <c r="AQ69" s="169"/>
      <c r="AR69" s="168"/>
      <c r="AS69" s="172">
        <v>2</v>
      </c>
      <c r="AT69" s="64"/>
      <c r="AU69" s="172">
        <v>2</v>
      </c>
      <c r="AV69" s="168"/>
      <c r="AW69" s="169"/>
      <c r="AX69" s="169"/>
      <c r="AY69" s="169"/>
      <c r="AZ69" s="169"/>
      <c r="BA69" s="169"/>
      <c r="BB69" s="170"/>
      <c r="BC69" s="173">
        <v>2</v>
      </c>
      <c r="BD69" s="65"/>
      <c r="BE69" s="2"/>
      <c r="BF69" s="1"/>
      <c r="BG69" s="5" t="s">
        <v>26</v>
      </c>
      <c r="BH69" s="6">
        <v>4321</v>
      </c>
      <c r="BI69" s="1"/>
      <c r="BJ69" s="85"/>
      <c r="BK69" s="85"/>
      <c r="BL69" s="1"/>
    </row>
    <row r="70" spans="27:72" ht="15.75" thickBot="1" x14ac:dyDescent="0.3">
      <c r="AB70" s="1"/>
      <c r="AC70" s="136"/>
      <c r="AD70" s="136"/>
      <c r="AE70" s="136"/>
      <c r="AF70" s="136"/>
      <c r="AG70" s="136"/>
      <c r="AH70" s="1"/>
      <c r="AI70" s="2"/>
      <c r="AJ70" s="63"/>
      <c r="AK70" s="171">
        <v>3</v>
      </c>
      <c r="AL70" s="168"/>
      <c r="AM70" s="80"/>
      <c r="AN70" s="169"/>
      <c r="AO70" s="80"/>
      <c r="AP70" s="169"/>
      <c r="AQ70" s="80"/>
      <c r="AR70" s="168"/>
      <c r="AS70" s="172">
        <v>3</v>
      </c>
      <c r="AT70" s="64"/>
      <c r="AU70" s="172">
        <v>3</v>
      </c>
      <c r="AV70" s="168"/>
      <c r="AW70" s="80"/>
      <c r="AX70" s="169"/>
      <c r="AY70" s="80"/>
      <c r="AZ70" s="169"/>
      <c r="BA70" s="80"/>
      <c r="BB70" s="170"/>
      <c r="BC70" s="173">
        <v>3</v>
      </c>
      <c r="BD70" s="65"/>
      <c r="BE70" s="2"/>
      <c r="BF70" s="1"/>
      <c r="BG70" s="3"/>
      <c r="BH70" s="3"/>
      <c r="BI70" s="1"/>
      <c r="BJ70" s="1"/>
      <c r="BK70" s="1"/>
      <c r="BL70" s="1"/>
    </row>
    <row r="71" spans="27:72" ht="15.75" thickBot="1" x14ac:dyDescent="0.3">
      <c r="AB71" s="1"/>
      <c r="AC71" s="136"/>
      <c r="AD71" s="136"/>
      <c r="AE71" s="136"/>
      <c r="AF71" s="136"/>
      <c r="AG71" s="136"/>
      <c r="AH71" s="1"/>
      <c r="AI71" s="2"/>
      <c r="AJ71" s="63"/>
      <c r="AK71" s="171">
        <v>4</v>
      </c>
      <c r="AL71" s="168"/>
      <c r="AM71" s="174"/>
      <c r="AN71" s="169"/>
      <c r="AO71" s="174"/>
      <c r="AP71" s="169"/>
      <c r="AQ71" s="174"/>
      <c r="AR71" s="168"/>
      <c r="AS71" s="172">
        <v>4</v>
      </c>
      <c r="AT71" s="64"/>
      <c r="AU71" s="172">
        <v>4</v>
      </c>
      <c r="AV71" s="168"/>
      <c r="AW71" s="174"/>
      <c r="AX71" s="169"/>
      <c r="AY71" s="174"/>
      <c r="AZ71" s="169"/>
      <c r="BA71" s="174"/>
      <c r="BB71" s="170"/>
      <c r="BC71" s="173">
        <v>4</v>
      </c>
      <c r="BD71" s="65"/>
      <c r="BE71" s="2"/>
      <c r="BF71" s="1"/>
      <c r="BG71" s="5" t="s">
        <v>27</v>
      </c>
      <c r="BH71" s="6">
        <v>32</v>
      </c>
      <c r="BI71" s="18"/>
      <c r="BJ71" s="1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63"/>
      <c r="AK72" s="171">
        <v>5</v>
      </c>
      <c r="AL72" s="168"/>
      <c r="AM72" s="169"/>
      <c r="AN72" s="169"/>
      <c r="AO72" s="169"/>
      <c r="AP72" s="169"/>
      <c r="AQ72" s="169"/>
      <c r="AR72" s="168"/>
      <c r="AS72" s="172">
        <v>5</v>
      </c>
      <c r="AT72" s="64"/>
      <c r="AU72" s="172">
        <v>5</v>
      </c>
      <c r="AV72" s="168"/>
      <c r="AW72" s="169"/>
      <c r="AX72" s="169"/>
      <c r="AY72" s="169"/>
      <c r="AZ72" s="169"/>
      <c r="BA72" s="169"/>
      <c r="BB72" s="170"/>
      <c r="BC72" s="173">
        <v>5</v>
      </c>
      <c r="BD72" s="65"/>
      <c r="BE72" s="2"/>
      <c r="BF72" s="1"/>
      <c r="BG72" s="3"/>
      <c r="BH72" s="4"/>
      <c r="BI72" s="1"/>
      <c r="BJ72" s="1"/>
      <c r="BK72" s="1"/>
      <c r="BL72" s="1"/>
    </row>
    <row r="73" spans="27:72" ht="15.75" thickBot="1" x14ac:dyDescent="0.3">
      <c r="AA73" s="2"/>
      <c r="AB73" s="110"/>
      <c r="AC73" s="110"/>
      <c r="AD73" s="110"/>
      <c r="AE73" s="110"/>
      <c r="AF73" s="110"/>
      <c r="AG73" s="110"/>
      <c r="AH73" s="110"/>
      <c r="AI73" s="2"/>
      <c r="AJ73" s="63"/>
      <c r="AK73" s="171">
        <v>6</v>
      </c>
      <c r="AL73" s="168"/>
      <c r="AM73" s="169"/>
      <c r="AN73" s="169"/>
      <c r="AO73" s="169"/>
      <c r="AP73" s="169"/>
      <c r="AQ73" s="169"/>
      <c r="AR73" s="168"/>
      <c r="AS73" s="172">
        <v>6</v>
      </c>
      <c r="AT73" s="64"/>
      <c r="AU73" s="172">
        <v>6</v>
      </c>
      <c r="AV73" s="168"/>
      <c r="AW73" s="169"/>
      <c r="AX73" s="169"/>
      <c r="AY73" s="169"/>
      <c r="AZ73" s="169"/>
      <c r="BA73" s="169"/>
      <c r="BB73" s="170"/>
      <c r="BC73" s="173">
        <v>6</v>
      </c>
      <c r="BD73" s="65"/>
      <c r="BE73" s="2"/>
      <c r="BF73" s="1"/>
      <c r="BG73" s="5" t="s">
        <v>28</v>
      </c>
      <c r="BH73" s="6">
        <v>32</v>
      </c>
      <c r="BI73" s="1"/>
      <c r="BJ73" s="1"/>
      <c r="BK73" s="1"/>
      <c r="BL73" s="1"/>
    </row>
    <row r="74" spans="27:72" x14ac:dyDescent="0.25">
      <c r="AA74" s="2"/>
      <c r="AB74" s="110"/>
      <c r="AC74" s="110"/>
      <c r="AD74" s="110"/>
      <c r="AE74" s="110"/>
      <c r="AF74" s="110"/>
      <c r="AG74" s="110"/>
      <c r="AH74" s="110"/>
      <c r="AI74" s="2"/>
      <c r="AJ74" s="63"/>
      <c r="AK74" s="171">
        <v>7</v>
      </c>
      <c r="AL74" s="168"/>
      <c r="AM74" s="169"/>
      <c r="AN74" s="169"/>
      <c r="AO74" s="169"/>
      <c r="AP74" s="169"/>
      <c r="AQ74" s="169"/>
      <c r="AR74" s="168"/>
      <c r="AS74" s="172">
        <v>7</v>
      </c>
      <c r="AT74" s="64"/>
      <c r="AU74" s="172">
        <v>7</v>
      </c>
      <c r="AV74" s="168"/>
      <c r="AW74" s="169"/>
      <c r="AX74" s="169"/>
      <c r="AY74" s="169"/>
      <c r="AZ74" s="169"/>
      <c r="BA74" s="169"/>
      <c r="BB74" s="170"/>
      <c r="BC74" s="173">
        <v>7</v>
      </c>
      <c r="BD74" s="65"/>
      <c r="BE74" s="2"/>
      <c r="BF74" s="1"/>
      <c r="BG74" s="3"/>
      <c r="BH74" s="4"/>
      <c r="BI74" s="1"/>
      <c r="BJ74" s="1"/>
      <c r="BK74" s="1"/>
      <c r="BL74" s="1"/>
    </row>
    <row r="75" spans="27:72" x14ac:dyDescent="0.25">
      <c r="AA75" s="2"/>
      <c r="AB75" s="110"/>
      <c r="AC75" s="110"/>
      <c r="AD75" s="110"/>
      <c r="AE75" s="110"/>
      <c r="AF75" s="110"/>
      <c r="AG75" s="110"/>
      <c r="AH75" s="110"/>
      <c r="AI75" s="2"/>
      <c r="AJ75" s="63"/>
      <c r="AK75" s="171">
        <v>8</v>
      </c>
      <c r="AL75" s="168"/>
      <c r="AM75" s="80"/>
      <c r="AN75" s="169"/>
      <c r="AO75" s="80"/>
      <c r="AP75" s="169"/>
      <c r="AQ75" s="80"/>
      <c r="AR75" s="168"/>
      <c r="AS75" s="172">
        <v>8</v>
      </c>
      <c r="AT75" s="64"/>
      <c r="AU75" s="172">
        <v>8</v>
      </c>
      <c r="AV75" s="168"/>
      <c r="AW75" s="80"/>
      <c r="AX75" s="169"/>
      <c r="AY75" s="80"/>
      <c r="AZ75" s="169"/>
      <c r="BA75" s="80"/>
      <c r="BB75" s="170"/>
      <c r="BC75" s="173">
        <v>8</v>
      </c>
      <c r="BD75" s="65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110"/>
      <c r="AC76" s="110"/>
      <c r="AD76" s="110"/>
      <c r="AE76" s="110"/>
      <c r="AF76" s="110"/>
      <c r="AG76" s="110"/>
      <c r="AH76" s="110"/>
      <c r="AI76" s="2"/>
      <c r="AJ76" s="63"/>
      <c r="AK76" s="171">
        <v>9</v>
      </c>
      <c r="AL76" s="168"/>
      <c r="AM76" s="174"/>
      <c r="AN76" s="169"/>
      <c r="AO76" s="174"/>
      <c r="AP76" s="169"/>
      <c r="AQ76" s="174"/>
      <c r="AR76" s="168"/>
      <c r="AS76" s="172">
        <v>9</v>
      </c>
      <c r="AT76" s="64"/>
      <c r="AU76" s="172">
        <v>9</v>
      </c>
      <c r="AV76" s="168"/>
      <c r="AW76" s="174"/>
      <c r="AX76" s="169"/>
      <c r="AY76" s="174"/>
      <c r="AZ76" s="169"/>
      <c r="BA76" s="174"/>
      <c r="BB76" s="170"/>
      <c r="BC76" s="173">
        <v>9</v>
      </c>
      <c r="BD76" s="65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97" t="s">
        <v>190</v>
      </c>
      <c r="AD77" s="97"/>
      <c r="AE77" s="97"/>
      <c r="AF77" s="98" t="s">
        <v>191</v>
      </c>
      <c r="AG77" s="99">
        <f>SUM(AG78:AG99)</f>
        <v>0</v>
      </c>
      <c r="AH77" s="2"/>
      <c r="AI77" s="2"/>
      <c r="AJ77" s="63"/>
      <c r="AK77" s="171">
        <v>10</v>
      </c>
      <c r="AL77" s="168"/>
      <c r="AM77" s="169"/>
      <c r="AN77" s="169"/>
      <c r="AO77" s="169"/>
      <c r="AP77" s="169"/>
      <c r="AQ77" s="169"/>
      <c r="AR77" s="168"/>
      <c r="AS77" s="172">
        <v>10</v>
      </c>
      <c r="AT77" s="64"/>
      <c r="AU77" s="172">
        <v>10</v>
      </c>
      <c r="AV77" s="168"/>
      <c r="AW77" s="169"/>
      <c r="AX77" s="169"/>
      <c r="AY77" s="169"/>
      <c r="AZ77" s="169"/>
      <c r="BA77" s="169"/>
      <c r="BB77" s="170"/>
      <c r="BC77" s="173">
        <v>10</v>
      </c>
      <c r="BD77" s="65"/>
      <c r="BE77" s="2"/>
      <c r="BF77" s="1"/>
      <c r="BG77" s="3"/>
      <c r="BH77" s="1"/>
      <c r="BI77" s="1"/>
      <c r="BJ77" s="134" t="s">
        <v>30</v>
      </c>
      <c r="BK77" s="134"/>
      <c r="BL77" s="1"/>
    </row>
    <row r="78" spans="27:72" ht="15.75" thickBot="1" x14ac:dyDescent="0.3">
      <c r="AA78" s="2"/>
      <c r="AB78" s="107"/>
      <c r="AC78" s="108"/>
      <c r="AD78" s="137"/>
      <c r="AE78" s="137"/>
      <c r="AF78" s="137"/>
      <c r="AG78" s="109"/>
      <c r="AH78" s="107"/>
      <c r="AI78" s="2"/>
      <c r="AJ78" s="63"/>
      <c r="AK78" s="171">
        <v>11</v>
      </c>
      <c r="AL78" s="168"/>
      <c r="AM78" s="169"/>
      <c r="AN78" s="169"/>
      <c r="AO78" s="169"/>
      <c r="AP78" s="169"/>
      <c r="AQ78" s="169"/>
      <c r="AR78" s="168"/>
      <c r="AS78" s="172">
        <v>11</v>
      </c>
      <c r="AT78" s="64"/>
      <c r="AU78" s="172">
        <v>11</v>
      </c>
      <c r="AV78" s="168"/>
      <c r="AW78" s="169"/>
      <c r="AX78" s="169"/>
      <c r="AY78" s="169"/>
      <c r="AZ78" s="169"/>
      <c r="BA78" s="169"/>
      <c r="BB78" s="170"/>
      <c r="BC78" s="173">
        <v>11</v>
      </c>
      <c r="BD78" s="65"/>
      <c r="BE78" s="2"/>
      <c r="BF78" s="1"/>
      <c r="BG78" s="5" t="s">
        <v>31</v>
      </c>
      <c r="BH78" s="6">
        <v>10</v>
      </c>
      <c r="BI78" s="1"/>
      <c r="BJ78" s="135" t="str">
        <f>IF(COUNTIF(BK85:BK86,TRUE)=2,"CONFORME","NON CONFORME")</f>
        <v>CONFORME</v>
      </c>
      <c r="BK78" s="135"/>
      <c r="BL78" s="1"/>
    </row>
    <row r="79" spans="27:72" ht="15.75" thickBot="1" x14ac:dyDescent="0.3">
      <c r="AA79" s="2"/>
      <c r="AB79" s="2"/>
      <c r="AC79" s="84"/>
      <c r="AD79" s="129"/>
      <c r="AE79" s="129"/>
      <c r="AF79" s="129"/>
      <c r="AG79" s="84"/>
      <c r="AH79" s="2"/>
      <c r="AI79" s="2"/>
      <c r="AJ79" s="63"/>
      <c r="AK79" s="171">
        <v>12</v>
      </c>
      <c r="AL79" s="168"/>
      <c r="AM79" s="169"/>
      <c r="AN79" s="169"/>
      <c r="AO79" s="169"/>
      <c r="AP79" s="169"/>
      <c r="AQ79" s="169"/>
      <c r="AR79" s="168"/>
      <c r="AS79" s="172">
        <v>12</v>
      </c>
      <c r="AT79" s="64"/>
      <c r="AU79" s="172">
        <v>12</v>
      </c>
      <c r="AV79" s="168"/>
      <c r="AW79" s="169"/>
      <c r="AX79" s="169"/>
      <c r="AY79" s="169"/>
      <c r="AZ79" s="169"/>
      <c r="BA79" s="169"/>
      <c r="BB79" s="170"/>
      <c r="BC79" s="173">
        <v>12</v>
      </c>
      <c r="BD79" s="65"/>
      <c r="BE79" s="2"/>
      <c r="BF79" s="13"/>
      <c r="BG79" s="61">
        <f>IF(productRollStatus="CONFORME",OFNumber,CutOFNumber)</f>
        <v>4321</v>
      </c>
      <c r="BH79" s="14" t="str">
        <f>IF(BJ78="CONFORME",CONCATENATE(OFNumber,"-",BH78),"")</f>
        <v>4321-10</v>
      </c>
      <c r="BI79" s="1"/>
      <c r="BJ79" s="135"/>
      <c r="BK79" s="135"/>
      <c r="BL79" s="1"/>
    </row>
    <row r="80" spans="27:72" x14ac:dyDescent="0.25">
      <c r="AA80" s="2"/>
      <c r="AB80" s="2"/>
      <c r="AC80" s="84"/>
      <c r="AD80" s="129"/>
      <c r="AE80" s="129"/>
      <c r="AF80" s="129"/>
      <c r="AG80" s="84"/>
      <c r="AH80" s="2"/>
      <c r="AI80" s="2"/>
      <c r="AJ80" s="63"/>
      <c r="AK80" s="171">
        <v>13</v>
      </c>
      <c r="AL80" s="168"/>
      <c r="AM80" s="80"/>
      <c r="AN80" s="169"/>
      <c r="AO80" s="80"/>
      <c r="AP80" s="169"/>
      <c r="AQ80" s="80"/>
      <c r="AR80" s="168"/>
      <c r="AS80" s="172">
        <v>13</v>
      </c>
      <c r="AT80" s="64"/>
      <c r="AU80" s="172">
        <v>13</v>
      </c>
      <c r="AV80" s="168"/>
      <c r="AW80" s="80"/>
      <c r="AX80" s="169"/>
      <c r="AY80" s="80"/>
      <c r="AZ80" s="169"/>
      <c r="BA80" s="80"/>
      <c r="BB80" s="170"/>
      <c r="BC80" s="173">
        <v>13</v>
      </c>
      <c r="BD80" s="65"/>
      <c r="BE80" s="2"/>
      <c r="BF80" s="1"/>
      <c r="BG80" s="5" t="s">
        <v>32</v>
      </c>
      <c r="BH80" s="55">
        <v>908</v>
      </c>
      <c r="BI80" s="1"/>
      <c r="BJ80" s="133" t="str">
        <f>IF(productRollID&lt;&gt;"",IF(COUNTIF(dataRolls!A:A,productRollID)&gt;0,"Un rouleau avec cet ID existe déjà",""),"")</f>
        <v/>
      </c>
      <c r="BK80" s="133"/>
      <c r="BL80" s="1"/>
    </row>
    <row r="81" spans="27:64" ht="15.75" thickBot="1" x14ac:dyDescent="0.3">
      <c r="AA81" s="2"/>
      <c r="AB81" s="2"/>
      <c r="AC81" s="84"/>
      <c r="AD81" s="84"/>
      <c r="AE81" s="84"/>
      <c r="AF81" s="84"/>
      <c r="AG81" s="84"/>
      <c r="AH81" s="2"/>
      <c r="AI81" s="2"/>
      <c r="AJ81" s="63"/>
      <c r="AK81" s="171">
        <v>14</v>
      </c>
      <c r="AL81" s="168"/>
      <c r="AM81" s="174"/>
      <c r="AN81" s="169"/>
      <c r="AO81" s="174"/>
      <c r="AP81" s="169"/>
      <c r="AQ81" s="174"/>
      <c r="AR81" s="168"/>
      <c r="AS81" s="172">
        <v>14</v>
      </c>
      <c r="AT81" s="64"/>
      <c r="AU81" s="172">
        <v>14</v>
      </c>
      <c r="AV81" s="168"/>
      <c r="AW81" s="174"/>
      <c r="AX81" s="169"/>
      <c r="AY81" s="174"/>
      <c r="AZ81" s="169"/>
      <c r="BA81" s="174"/>
      <c r="BB81" s="170"/>
      <c r="BC81" s="173">
        <v>14</v>
      </c>
      <c r="BD81" s="65"/>
      <c r="BE81" s="2"/>
      <c r="BF81" s="1"/>
      <c r="BG81" s="5" t="s">
        <v>33</v>
      </c>
      <c r="BH81" s="56"/>
      <c r="BI81" s="15"/>
      <c r="BJ81" s="133"/>
      <c r="BK81" s="133"/>
      <c r="BL81" s="1"/>
    </row>
    <row r="82" spans="27:64" ht="15.75" customHeight="1" thickBot="1" x14ac:dyDescent="0.3">
      <c r="AA82" s="2"/>
      <c r="AB82" s="2"/>
      <c r="AC82" s="84"/>
      <c r="AD82" s="84"/>
      <c r="AE82" s="84"/>
      <c r="AF82" s="84"/>
      <c r="AG82" s="84"/>
      <c r="AH82" s="2"/>
      <c r="AI82" s="2"/>
      <c r="AJ82" s="63"/>
      <c r="AK82" s="171">
        <v>15</v>
      </c>
      <c r="AL82" s="168"/>
      <c r="AM82" s="169"/>
      <c r="AN82" s="169"/>
      <c r="AO82" s="169"/>
      <c r="AP82" s="169"/>
      <c r="AQ82" s="169"/>
      <c r="AR82" s="168"/>
      <c r="AS82" s="172">
        <v>15</v>
      </c>
      <c r="AT82" s="64"/>
      <c r="AU82" s="172">
        <v>15</v>
      </c>
      <c r="AV82" s="168"/>
      <c r="AW82" s="169"/>
      <c r="AX82" s="169"/>
      <c r="AY82" s="169"/>
      <c r="AZ82" s="169"/>
      <c r="BA82" s="169"/>
      <c r="BB82" s="170"/>
      <c r="BC82" s="173">
        <v>15</v>
      </c>
      <c r="BD82" s="65"/>
      <c r="BE82" s="2"/>
      <c r="BF82" s="1"/>
      <c r="BG82" s="5" t="s">
        <v>34</v>
      </c>
      <c r="BH82" s="57">
        <v>32</v>
      </c>
      <c r="BI82" s="1"/>
      <c r="BJ82" s="5" t="s">
        <v>35</v>
      </c>
      <c r="BK82" s="41"/>
      <c r="BL82" s="1"/>
    </row>
    <row r="83" spans="27:64" ht="15" customHeight="1" x14ac:dyDescent="0.25">
      <c r="AA83" s="2"/>
      <c r="AB83" s="2"/>
      <c r="AC83" s="84"/>
      <c r="AD83" s="84"/>
      <c r="AE83" s="84"/>
      <c r="AF83" s="84"/>
      <c r="AG83" s="84"/>
      <c r="AH83" s="2"/>
      <c r="AI83" s="2"/>
      <c r="AJ83" s="63"/>
      <c r="AK83" s="171">
        <v>16</v>
      </c>
      <c r="AL83" s="168"/>
      <c r="AM83" s="169"/>
      <c r="AN83" s="169"/>
      <c r="AO83" s="169"/>
      <c r="AP83" s="169"/>
      <c r="AQ83" s="169"/>
      <c r="AR83" s="168"/>
      <c r="AS83" s="172">
        <v>16</v>
      </c>
      <c r="AT83" s="64"/>
      <c r="AU83" s="172">
        <v>16</v>
      </c>
      <c r="AV83" s="168"/>
      <c r="AW83" s="169"/>
      <c r="AX83" s="169"/>
      <c r="AY83" s="169"/>
      <c r="AZ83" s="169"/>
      <c r="BA83" s="169"/>
      <c r="BB83" s="170"/>
      <c r="BC83" s="173">
        <v>16</v>
      </c>
      <c r="BD83" s="65"/>
      <c r="BE83" s="2"/>
      <c r="BF83" s="1"/>
      <c r="BG83" s="58">
        <f>productRollTotalWeight-productRollPipeWeight</f>
        <v>-908</v>
      </c>
      <c r="BH83" s="59" t="s">
        <v>62</v>
      </c>
      <c r="BI83" s="19"/>
      <c r="BJ83" s="58">
        <f>BG83/productRollLength</f>
        <v>-28.375</v>
      </c>
      <c r="BK83" s="59" t="s">
        <v>61</v>
      </c>
      <c r="BL83" s="1"/>
    </row>
    <row r="84" spans="27:64" x14ac:dyDescent="0.25">
      <c r="AA84" s="2"/>
      <c r="AB84" s="2"/>
      <c r="AC84" s="84"/>
      <c r="AD84" s="84"/>
      <c r="AE84" s="84"/>
      <c r="AF84" s="84"/>
      <c r="AG84" s="84"/>
      <c r="AH84" s="2"/>
      <c r="AI84" s="2"/>
      <c r="AJ84" s="63"/>
      <c r="AK84" s="171">
        <v>17</v>
      </c>
      <c r="AL84" s="168"/>
      <c r="AM84" s="169"/>
      <c r="AN84" s="169"/>
      <c r="AO84" s="169"/>
      <c r="AP84" s="169"/>
      <c r="AQ84" s="169"/>
      <c r="AR84" s="168"/>
      <c r="AS84" s="172">
        <v>17</v>
      </c>
      <c r="AT84" s="64"/>
      <c r="AU84" s="172">
        <v>17</v>
      </c>
      <c r="AV84" s="168"/>
      <c r="AW84" s="169"/>
      <c r="AX84" s="169"/>
      <c r="AY84" s="169"/>
      <c r="AZ84" s="169"/>
      <c r="BA84" s="169"/>
      <c r="BB84" s="170"/>
      <c r="BC84" s="173">
        <v>17</v>
      </c>
      <c r="BD84" s="65"/>
      <c r="BE84" s="2"/>
      <c r="BF84" s="111"/>
      <c r="BG84" s="112"/>
      <c r="BH84" s="113"/>
      <c r="BI84" s="111"/>
      <c r="BJ84" s="112"/>
      <c r="BK84" s="114"/>
      <c r="BL84" s="111"/>
    </row>
    <row r="85" spans="27:64" x14ac:dyDescent="0.25">
      <c r="AA85" s="2"/>
      <c r="AB85" s="2"/>
      <c r="AC85" s="84"/>
      <c r="AD85" s="84"/>
      <c r="AE85" s="84"/>
      <c r="AF85" s="84"/>
      <c r="AG85" s="84"/>
      <c r="AH85" s="2"/>
      <c r="AI85" s="2"/>
      <c r="AJ85" s="63"/>
      <c r="AK85" s="171">
        <v>18</v>
      </c>
      <c r="AL85" s="168"/>
      <c r="AM85" s="80"/>
      <c r="AN85" s="169"/>
      <c r="AO85" s="80"/>
      <c r="AP85" s="169"/>
      <c r="AQ85" s="80"/>
      <c r="AR85" s="168"/>
      <c r="AS85" s="172">
        <v>18</v>
      </c>
      <c r="AT85" s="64"/>
      <c r="AU85" s="172">
        <v>18</v>
      </c>
      <c r="AV85" s="168"/>
      <c r="AW85" s="80"/>
      <c r="AX85" s="169"/>
      <c r="AY85" s="80"/>
      <c r="AZ85" s="169"/>
      <c r="BA85" s="80"/>
      <c r="BB85" s="170"/>
      <c r="BC85" s="173">
        <v>18</v>
      </c>
      <c r="BD85" s="65"/>
      <c r="BE85" s="2"/>
      <c r="BF85" s="11"/>
      <c r="BG85" s="115"/>
      <c r="BH85" s="116"/>
      <c r="BI85" s="116"/>
      <c r="BJ85" s="116"/>
      <c r="BK85" s="117" t="b">
        <v>1</v>
      </c>
      <c r="BL85" s="11"/>
    </row>
    <row r="86" spans="27:64" x14ac:dyDescent="0.25">
      <c r="AB86" s="2"/>
      <c r="AC86" s="84"/>
      <c r="AD86" s="84"/>
      <c r="AE86" s="84"/>
      <c r="AF86" s="84"/>
      <c r="AG86" s="84"/>
      <c r="AH86" s="2"/>
      <c r="AI86" s="2"/>
      <c r="AJ86" s="63"/>
      <c r="AK86" s="171">
        <v>19</v>
      </c>
      <c r="AL86" s="168"/>
      <c r="AM86" s="174"/>
      <c r="AN86" s="169"/>
      <c r="AO86" s="174"/>
      <c r="AP86" s="169"/>
      <c r="AQ86" s="174"/>
      <c r="AR86" s="168"/>
      <c r="AS86" s="172">
        <v>19</v>
      </c>
      <c r="AT86" s="64"/>
      <c r="AU86" s="172">
        <v>19</v>
      </c>
      <c r="AV86" s="168"/>
      <c r="AW86" s="174"/>
      <c r="AX86" s="169"/>
      <c r="AY86" s="174"/>
      <c r="AZ86" s="169"/>
      <c r="BA86" s="174"/>
      <c r="BB86" s="170"/>
      <c r="BC86" s="173">
        <v>19</v>
      </c>
      <c r="BD86" s="65"/>
      <c r="BE86" s="2"/>
      <c r="BF86" s="11"/>
      <c r="BG86" s="115"/>
      <c r="BH86" s="116"/>
      <c r="BI86" s="116"/>
      <c r="BJ86" s="116"/>
      <c r="BK86" s="117" t="b">
        <v>1</v>
      </c>
      <c r="BL86" s="11"/>
    </row>
    <row r="87" spans="27:64" x14ac:dyDescent="0.25">
      <c r="AB87" s="2"/>
      <c r="AC87" s="84"/>
      <c r="AD87" s="84"/>
      <c r="AE87" s="84"/>
      <c r="AF87" s="84"/>
      <c r="AG87" s="84"/>
      <c r="AH87" s="2"/>
      <c r="AI87" s="2"/>
      <c r="AJ87" s="63"/>
      <c r="AK87" s="171">
        <v>20</v>
      </c>
      <c r="AL87" s="168"/>
      <c r="AM87" s="169"/>
      <c r="AN87" s="169"/>
      <c r="AO87" s="169"/>
      <c r="AP87" s="169"/>
      <c r="AQ87" s="169"/>
      <c r="AR87" s="168"/>
      <c r="AS87" s="172">
        <v>20</v>
      </c>
      <c r="AT87" s="64"/>
      <c r="AU87" s="172">
        <v>20</v>
      </c>
      <c r="AV87" s="168"/>
      <c r="AW87" s="169"/>
      <c r="AX87" s="169"/>
      <c r="AY87" s="169"/>
      <c r="AZ87" s="169"/>
      <c r="BA87" s="169"/>
      <c r="BB87" s="170"/>
      <c r="BC87" s="173">
        <v>20</v>
      </c>
      <c r="BD87" s="65"/>
      <c r="BE87" s="2"/>
      <c r="BF87" s="110"/>
      <c r="BG87" s="118"/>
      <c r="BH87" s="119"/>
      <c r="BI87" s="119"/>
      <c r="BJ87" s="119"/>
      <c r="BK87" s="120"/>
      <c r="BL87" s="110"/>
    </row>
    <row r="88" spans="27:64" x14ac:dyDescent="0.25">
      <c r="AB88" s="2"/>
      <c r="AC88" s="84"/>
      <c r="AD88" s="84"/>
      <c r="AE88" s="84"/>
      <c r="AF88" s="84"/>
      <c r="AG88" s="84"/>
      <c r="AH88" s="2"/>
      <c r="AI88" s="2"/>
      <c r="AJ88" s="63"/>
      <c r="AK88" s="171">
        <v>21</v>
      </c>
      <c r="AL88" s="168"/>
      <c r="AM88" s="169"/>
      <c r="AN88" s="169"/>
      <c r="AO88" s="169"/>
      <c r="AP88" s="169"/>
      <c r="AQ88" s="169"/>
      <c r="AR88" s="168"/>
      <c r="AS88" s="172">
        <v>21</v>
      </c>
      <c r="AT88" s="64"/>
      <c r="AU88" s="172">
        <v>21</v>
      </c>
      <c r="AV88" s="168"/>
      <c r="AW88" s="169"/>
      <c r="AX88" s="169"/>
      <c r="AY88" s="169"/>
      <c r="AZ88" s="169"/>
      <c r="BA88" s="169"/>
      <c r="BB88" s="170"/>
      <c r="BC88" s="173">
        <v>21</v>
      </c>
      <c r="BD88" s="65"/>
      <c r="BE88" s="2"/>
      <c r="BF88" s="2"/>
      <c r="BG88" s="50"/>
      <c r="BH88" s="16"/>
      <c r="BI88" s="16"/>
      <c r="BJ88" s="16"/>
      <c r="BK88" s="48"/>
      <c r="BL88" s="2"/>
    </row>
    <row r="89" spans="27:64" x14ac:dyDescent="0.25">
      <c r="AB89" s="2"/>
      <c r="AC89" s="84"/>
      <c r="AD89" s="84"/>
      <c r="AE89" s="84"/>
      <c r="AF89" s="84"/>
      <c r="AG89" s="84"/>
      <c r="AH89" s="2"/>
      <c r="AI89" s="2"/>
      <c r="AJ89" s="63"/>
      <c r="AK89" s="171">
        <v>22</v>
      </c>
      <c r="AL89" s="168"/>
      <c r="AM89" s="169"/>
      <c r="AN89" s="169"/>
      <c r="AO89" s="169"/>
      <c r="AP89" s="169"/>
      <c r="AQ89" s="169"/>
      <c r="AR89" s="168"/>
      <c r="AS89" s="172">
        <v>22</v>
      </c>
      <c r="AT89" s="64"/>
      <c r="AU89" s="172">
        <v>22</v>
      </c>
      <c r="AV89" s="168"/>
      <c r="AW89" s="169"/>
      <c r="AX89" s="169"/>
      <c r="AY89" s="169"/>
      <c r="AZ89" s="169"/>
      <c r="BA89" s="169"/>
      <c r="BB89" s="170"/>
      <c r="BC89" s="173">
        <v>22</v>
      </c>
      <c r="BD89" s="65"/>
      <c r="BE89" s="2"/>
      <c r="BF89" s="2"/>
      <c r="BG89" s="46"/>
      <c r="BH89" s="46"/>
      <c r="BI89" s="46"/>
      <c r="BJ89" s="47"/>
      <c r="BK89" s="49"/>
      <c r="BL89" s="2"/>
    </row>
    <row r="90" spans="27:64" x14ac:dyDescent="0.25">
      <c r="AB90" s="2"/>
      <c r="AC90" s="84"/>
      <c r="AD90" s="84"/>
      <c r="AE90" s="84"/>
      <c r="AF90" s="84"/>
      <c r="AG90" s="84"/>
      <c r="AH90" s="2"/>
      <c r="AI90" s="2"/>
      <c r="AJ90" s="63"/>
      <c r="AK90" s="171">
        <v>23</v>
      </c>
      <c r="AL90" s="168"/>
      <c r="AM90" s="80"/>
      <c r="AN90" s="169"/>
      <c r="AO90" s="80"/>
      <c r="AP90" s="169"/>
      <c r="AQ90" s="80"/>
      <c r="AR90" s="168"/>
      <c r="AS90" s="172">
        <v>23</v>
      </c>
      <c r="AT90" s="64"/>
      <c r="AU90" s="172">
        <v>23</v>
      </c>
      <c r="AV90" s="168"/>
      <c r="AW90" s="80"/>
      <c r="AX90" s="169"/>
      <c r="AY90" s="80"/>
      <c r="AZ90" s="169"/>
      <c r="BA90" s="80"/>
      <c r="BB90" s="170"/>
      <c r="BC90" s="173">
        <v>23</v>
      </c>
      <c r="BD90" s="65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84"/>
      <c r="AD91" s="84"/>
      <c r="AE91" s="84"/>
      <c r="AF91" s="84"/>
      <c r="AG91" s="84"/>
      <c r="AH91" s="2"/>
      <c r="AI91" s="2"/>
      <c r="AJ91" s="63"/>
      <c r="AK91" s="171">
        <v>24</v>
      </c>
      <c r="AL91" s="168"/>
      <c r="AM91" s="174"/>
      <c r="AN91" s="169"/>
      <c r="AO91" s="174"/>
      <c r="AP91" s="169"/>
      <c r="AQ91" s="174"/>
      <c r="AR91" s="168"/>
      <c r="AS91" s="172">
        <v>24</v>
      </c>
      <c r="AT91" s="64"/>
      <c r="AU91" s="172">
        <v>24</v>
      </c>
      <c r="AV91" s="168"/>
      <c r="AW91" s="174"/>
      <c r="AX91" s="169"/>
      <c r="AY91" s="174"/>
      <c r="AZ91" s="169"/>
      <c r="BA91" s="174"/>
      <c r="BB91" s="170"/>
      <c r="BC91" s="173">
        <v>24</v>
      </c>
      <c r="BD91" s="65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84"/>
      <c r="AD92" s="84"/>
      <c r="AE92" s="84"/>
      <c r="AF92" s="84"/>
      <c r="AG92" s="84"/>
      <c r="AH92" s="2"/>
      <c r="AI92" s="2"/>
      <c r="AJ92" s="63"/>
      <c r="AK92" s="171">
        <v>25</v>
      </c>
      <c r="AL92" s="168"/>
      <c r="AM92" s="169"/>
      <c r="AN92" s="169"/>
      <c r="AO92" s="169"/>
      <c r="AP92" s="169"/>
      <c r="AQ92" s="169"/>
      <c r="AR92" s="168"/>
      <c r="AS92" s="172">
        <v>25</v>
      </c>
      <c r="AT92" s="64"/>
      <c r="AU92" s="172">
        <v>25</v>
      </c>
      <c r="AV92" s="168"/>
      <c r="AW92" s="169"/>
      <c r="AX92" s="169"/>
      <c r="AY92" s="169"/>
      <c r="AZ92" s="169"/>
      <c r="BA92" s="169"/>
      <c r="BB92" s="170"/>
      <c r="BC92" s="173">
        <v>25</v>
      </c>
      <c r="BD92" s="65"/>
      <c r="BE92" s="2"/>
      <c r="BF92" s="2"/>
      <c r="BG92" s="98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84"/>
      <c r="AD93" s="84"/>
      <c r="AE93" s="84"/>
      <c r="AF93" s="84"/>
      <c r="AG93" s="84"/>
      <c r="AH93" s="2"/>
      <c r="AI93" s="2"/>
      <c r="AJ93" s="63"/>
      <c r="AK93" s="171">
        <v>26</v>
      </c>
      <c r="AL93" s="168"/>
      <c r="AM93" s="169"/>
      <c r="AN93" s="169"/>
      <c r="AO93" s="169"/>
      <c r="AP93" s="169"/>
      <c r="AQ93" s="169"/>
      <c r="AR93" s="168"/>
      <c r="AS93" s="172">
        <v>26</v>
      </c>
      <c r="AT93" s="64"/>
      <c r="AU93" s="172">
        <v>26</v>
      </c>
      <c r="AV93" s="168"/>
      <c r="AW93" s="169"/>
      <c r="AX93" s="169"/>
      <c r="AY93" s="169"/>
      <c r="AZ93" s="169"/>
      <c r="BA93" s="169"/>
      <c r="BB93" s="170"/>
      <c r="BC93" s="173">
        <v>26</v>
      </c>
      <c r="BD93" s="65"/>
      <c r="BE93" s="2"/>
      <c r="BF93" s="2"/>
      <c r="BG93" s="98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84"/>
      <c r="AD94" s="84"/>
      <c r="AE94" s="84"/>
      <c r="AF94" s="84"/>
      <c r="AG94" s="84"/>
      <c r="AH94" s="2"/>
      <c r="AI94" s="2"/>
      <c r="AJ94" s="63"/>
      <c r="AK94" s="171">
        <v>27</v>
      </c>
      <c r="AL94" s="168"/>
      <c r="AM94" s="169"/>
      <c r="AN94" s="169"/>
      <c r="AO94" s="169"/>
      <c r="AP94" s="169"/>
      <c r="AQ94" s="169"/>
      <c r="AR94" s="168"/>
      <c r="AS94" s="172">
        <v>27</v>
      </c>
      <c r="AT94" s="64"/>
      <c r="AU94" s="172">
        <v>27</v>
      </c>
      <c r="AV94" s="168"/>
      <c r="AW94" s="169"/>
      <c r="AX94" s="169"/>
      <c r="AY94" s="169"/>
      <c r="AZ94" s="169"/>
      <c r="BA94" s="169"/>
      <c r="BB94" s="170"/>
      <c r="BC94" s="173">
        <v>27</v>
      </c>
      <c r="BD94" s="65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84"/>
      <c r="AD95" s="84"/>
      <c r="AE95" s="84"/>
      <c r="AF95" s="84"/>
      <c r="AG95" s="84"/>
      <c r="AH95" s="2"/>
      <c r="AI95" s="2"/>
      <c r="AJ95" s="63"/>
      <c r="AK95" s="171">
        <v>28</v>
      </c>
      <c r="AL95" s="168"/>
      <c r="AM95" s="80"/>
      <c r="AN95" s="169"/>
      <c r="AO95" s="80"/>
      <c r="AP95" s="169"/>
      <c r="AQ95" s="80"/>
      <c r="AR95" s="168"/>
      <c r="AS95" s="172">
        <v>28</v>
      </c>
      <c r="AT95" s="64"/>
      <c r="AU95" s="172">
        <v>28</v>
      </c>
      <c r="AV95" s="168"/>
      <c r="AW95" s="80"/>
      <c r="AX95" s="169"/>
      <c r="AY95" s="80"/>
      <c r="AZ95" s="169"/>
      <c r="BA95" s="80"/>
      <c r="BB95" s="170"/>
      <c r="BC95" s="173">
        <v>28</v>
      </c>
      <c r="BD95" s="65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84"/>
      <c r="AD96" s="84"/>
      <c r="AE96" s="84"/>
      <c r="AF96" s="84"/>
      <c r="AG96" s="84"/>
      <c r="AH96" s="2"/>
      <c r="AI96" s="2"/>
      <c r="AJ96" s="63"/>
      <c r="AK96" s="171">
        <v>29</v>
      </c>
      <c r="AL96" s="168"/>
      <c r="AM96" s="174"/>
      <c r="AN96" s="169"/>
      <c r="AO96" s="174"/>
      <c r="AP96" s="169"/>
      <c r="AQ96" s="174"/>
      <c r="AR96" s="168"/>
      <c r="AS96" s="172">
        <v>29</v>
      </c>
      <c r="AT96" s="64"/>
      <c r="AU96" s="172">
        <v>29</v>
      </c>
      <c r="AV96" s="168"/>
      <c r="AW96" s="174"/>
      <c r="AX96" s="169"/>
      <c r="AY96" s="174"/>
      <c r="AZ96" s="169"/>
      <c r="BA96" s="174"/>
      <c r="BB96" s="170"/>
      <c r="BC96" s="173">
        <v>29</v>
      </c>
      <c r="BD96" s="6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84"/>
      <c r="AD97" s="84"/>
      <c r="AE97" s="84"/>
      <c r="AF97" s="84"/>
      <c r="AG97" s="84"/>
      <c r="AH97" s="2"/>
      <c r="AI97" s="2"/>
      <c r="AJ97" s="63"/>
      <c r="AK97" s="171">
        <v>30</v>
      </c>
      <c r="AL97" s="168"/>
      <c r="AM97" s="169"/>
      <c r="AN97" s="169"/>
      <c r="AO97" s="169"/>
      <c r="AP97" s="169"/>
      <c r="AQ97" s="169"/>
      <c r="AR97" s="168"/>
      <c r="AS97" s="172">
        <v>30</v>
      </c>
      <c r="AT97" s="64"/>
      <c r="AU97" s="172">
        <v>30</v>
      </c>
      <c r="AV97" s="168"/>
      <c r="AW97" s="169"/>
      <c r="AX97" s="169"/>
      <c r="AY97" s="169"/>
      <c r="AZ97" s="169"/>
      <c r="BA97" s="169"/>
      <c r="BB97" s="170"/>
      <c r="BC97" s="173">
        <v>30</v>
      </c>
      <c r="BD97" s="6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84"/>
      <c r="AD98" s="84"/>
      <c r="AE98" s="84"/>
      <c r="AF98" s="84"/>
      <c r="AG98" s="84"/>
      <c r="AH98" s="2"/>
      <c r="AI98" s="2"/>
      <c r="AJ98" s="63"/>
      <c r="AK98" s="171">
        <v>31</v>
      </c>
      <c r="AL98" s="168"/>
      <c r="AM98" s="169"/>
      <c r="AN98" s="169"/>
      <c r="AO98" s="169"/>
      <c r="AP98" s="169"/>
      <c r="AQ98" s="169"/>
      <c r="AR98" s="168"/>
      <c r="AS98" s="172">
        <v>31</v>
      </c>
      <c r="AT98" s="64"/>
      <c r="AU98" s="172">
        <v>31</v>
      </c>
      <c r="AV98" s="168"/>
      <c r="AW98" s="169"/>
      <c r="AX98" s="169"/>
      <c r="AY98" s="169"/>
      <c r="AZ98" s="169"/>
      <c r="BA98" s="169"/>
      <c r="BB98" s="170"/>
      <c r="BC98" s="173">
        <v>31</v>
      </c>
      <c r="BD98" s="6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84"/>
      <c r="AD99" s="84"/>
      <c r="AE99" s="84"/>
      <c r="AF99" s="84"/>
      <c r="AG99" s="84"/>
      <c r="AH99" s="2"/>
      <c r="AI99" s="2"/>
      <c r="AJ99" s="63"/>
      <c r="AK99" s="171">
        <v>32</v>
      </c>
      <c r="AL99" s="168"/>
      <c r="AM99" s="169"/>
      <c r="AN99" s="169"/>
      <c r="AO99" s="169"/>
      <c r="AP99" s="169"/>
      <c r="AQ99" s="169"/>
      <c r="AR99" s="168"/>
      <c r="AS99" s="172">
        <v>32</v>
      </c>
      <c r="AT99" s="64"/>
      <c r="AU99" s="172">
        <v>32</v>
      </c>
      <c r="AV99" s="168"/>
      <c r="AW99" s="169"/>
      <c r="AX99" s="169"/>
      <c r="AY99" s="169"/>
      <c r="AZ99" s="169"/>
      <c r="BA99" s="169"/>
      <c r="BB99" s="170"/>
      <c r="BC99" s="173">
        <v>32</v>
      </c>
      <c r="BD99" s="6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4"/>
      <c r="AK100" s="155">
        <v>33</v>
      </c>
      <c r="AL100" s="156"/>
      <c r="AM100" s="157">
        <v>5.68</v>
      </c>
      <c r="AN100" s="156"/>
      <c r="AO100" s="157">
        <v>7.09</v>
      </c>
      <c r="AP100" s="156"/>
      <c r="AQ100" s="157">
        <v>5.71</v>
      </c>
      <c r="AR100" s="156"/>
      <c r="AS100" s="158">
        <v>33</v>
      </c>
      <c r="AT100" s="159"/>
      <c r="AU100" s="158">
        <v>33</v>
      </c>
      <c r="AV100" s="156"/>
      <c r="AW100" s="157">
        <v>6.13</v>
      </c>
      <c r="AX100" s="156"/>
      <c r="AY100" s="157">
        <v>5.73</v>
      </c>
      <c r="AZ100" s="156"/>
      <c r="BA100" s="157">
        <v>4.63</v>
      </c>
      <c r="BB100" s="159"/>
      <c r="BC100" s="160">
        <v>33</v>
      </c>
      <c r="BD100" s="161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4"/>
      <c r="AK101" s="155">
        <v>34</v>
      </c>
      <c r="AL101" s="156"/>
      <c r="AM101" s="156"/>
      <c r="AN101" s="156"/>
      <c r="AO101" s="156"/>
      <c r="AP101" s="156"/>
      <c r="AQ101" s="156"/>
      <c r="AR101" s="156"/>
      <c r="AS101" s="158">
        <v>34</v>
      </c>
      <c r="AT101" s="159"/>
      <c r="AU101" s="158">
        <v>34</v>
      </c>
      <c r="AV101" s="156"/>
      <c r="AW101" s="156"/>
      <c r="AX101" s="156"/>
      <c r="AY101" s="156"/>
      <c r="AZ101" s="156"/>
      <c r="BA101" s="156"/>
      <c r="BB101" s="159"/>
      <c r="BC101" s="160">
        <v>34</v>
      </c>
      <c r="BD101" s="161"/>
      <c r="BE101" s="2"/>
      <c r="BF101" s="2"/>
      <c r="BG101" s="130"/>
      <c r="BH101" s="130"/>
      <c r="BI101" s="130"/>
      <c r="BJ101" s="130"/>
      <c r="BK101" s="130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4"/>
      <c r="AK102" s="155">
        <v>35</v>
      </c>
      <c r="AL102" s="156"/>
      <c r="AM102" s="156"/>
      <c r="AN102" s="156"/>
      <c r="AO102" s="156"/>
      <c r="AP102" s="156"/>
      <c r="AQ102" s="156"/>
      <c r="AR102" s="156"/>
      <c r="AS102" s="158">
        <v>35</v>
      </c>
      <c r="AT102" s="159"/>
      <c r="AU102" s="158">
        <v>35</v>
      </c>
      <c r="AV102" s="156"/>
      <c r="AW102" s="156"/>
      <c r="AX102" s="156"/>
      <c r="AY102" s="156"/>
      <c r="AZ102" s="156"/>
      <c r="BA102" s="156"/>
      <c r="BB102" s="159"/>
      <c r="BC102" s="160">
        <v>35</v>
      </c>
      <c r="BD102" s="161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4"/>
      <c r="AK103" s="155">
        <v>36</v>
      </c>
      <c r="AL103" s="156"/>
      <c r="AM103" s="156"/>
      <c r="AN103" s="156"/>
      <c r="AO103" s="156"/>
      <c r="AP103" s="156"/>
      <c r="AQ103" s="156"/>
      <c r="AR103" s="156"/>
      <c r="AS103" s="158">
        <v>36</v>
      </c>
      <c r="AT103" s="159"/>
      <c r="AU103" s="158">
        <v>36</v>
      </c>
      <c r="AV103" s="156"/>
      <c r="AW103" s="156"/>
      <c r="AX103" s="156"/>
      <c r="AY103" s="156"/>
      <c r="AZ103" s="156"/>
      <c r="BA103" s="156"/>
      <c r="BB103" s="159"/>
      <c r="BC103" s="160">
        <v>36</v>
      </c>
      <c r="BD103" s="161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4"/>
      <c r="AK104" s="155">
        <v>37</v>
      </c>
      <c r="AL104" s="156"/>
      <c r="AM104" s="156"/>
      <c r="AN104" s="156"/>
      <c r="AO104" s="156"/>
      <c r="AP104" s="156"/>
      <c r="AQ104" s="156"/>
      <c r="AR104" s="156"/>
      <c r="AS104" s="158">
        <v>37</v>
      </c>
      <c r="AT104" s="159"/>
      <c r="AU104" s="158">
        <v>37</v>
      </c>
      <c r="AV104" s="156"/>
      <c r="AW104" s="156"/>
      <c r="AX104" s="156"/>
      <c r="AY104" s="156"/>
      <c r="AZ104" s="156"/>
      <c r="BA104" s="156"/>
      <c r="BB104" s="159"/>
      <c r="BC104" s="160">
        <v>37</v>
      </c>
      <c r="BD104" s="161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4"/>
      <c r="AK105" s="155">
        <v>38</v>
      </c>
      <c r="AL105" s="156"/>
      <c r="AM105" s="157">
        <v>6.72</v>
      </c>
      <c r="AN105" s="156"/>
      <c r="AO105" s="157">
        <v>6.51</v>
      </c>
      <c r="AP105" s="156"/>
      <c r="AQ105" s="157">
        <v>5.7</v>
      </c>
      <c r="AR105" s="156"/>
      <c r="AS105" s="158">
        <v>38</v>
      </c>
      <c r="AT105" s="159"/>
      <c r="AU105" s="158">
        <v>38</v>
      </c>
      <c r="AV105" s="156"/>
      <c r="AW105" s="157">
        <v>5.84</v>
      </c>
      <c r="AX105" s="156"/>
      <c r="AY105" s="157">
        <v>6.64</v>
      </c>
      <c r="AZ105" s="156"/>
      <c r="BA105" s="157">
        <v>6</v>
      </c>
      <c r="BB105" s="159"/>
      <c r="BC105" s="160">
        <v>38</v>
      </c>
      <c r="BD105" s="161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4"/>
      <c r="AK106" s="155">
        <v>39</v>
      </c>
      <c r="AL106" s="156"/>
      <c r="AM106" s="156"/>
      <c r="AN106" s="156"/>
      <c r="AO106" s="156"/>
      <c r="AP106" s="156"/>
      <c r="AQ106" s="156"/>
      <c r="AR106" s="156"/>
      <c r="AS106" s="158">
        <v>39</v>
      </c>
      <c r="AT106" s="159"/>
      <c r="AU106" s="158">
        <v>39</v>
      </c>
      <c r="AV106" s="156"/>
      <c r="AW106" s="156"/>
      <c r="AX106" s="156"/>
      <c r="AY106" s="156"/>
      <c r="AZ106" s="156"/>
      <c r="BA106" s="156"/>
      <c r="BB106" s="159"/>
      <c r="BC106" s="160">
        <v>39</v>
      </c>
      <c r="BD106" s="161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4"/>
      <c r="AK107" s="155">
        <v>40</v>
      </c>
      <c r="AL107" s="156"/>
      <c r="AM107" s="156"/>
      <c r="AN107" s="156"/>
      <c r="AO107" s="156"/>
      <c r="AP107" s="156"/>
      <c r="AQ107" s="156"/>
      <c r="AR107" s="156"/>
      <c r="AS107" s="158">
        <v>40</v>
      </c>
      <c r="AT107" s="159"/>
      <c r="AU107" s="158">
        <v>40</v>
      </c>
      <c r="AV107" s="156"/>
      <c r="AW107" s="156"/>
      <c r="AX107" s="156"/>
      <c r="AY107" s="156"/>
      <c r="AZ107" s="156"/>
      <c r="BA107" s="156"/>
      <c r="BB107" s="159"/>
      <c r="BC107" s="160">
        <v>40</v>
      </c>
      <c r="BD107" s="161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4"/>
      <c r="AK108" s="155">
        <v>41</v>
      </c>
      <c r="AL108" s="156"/>
      <c r="AM108" s="156"/>
      <c r="AN108" s="156"/>
      <c r="AO108" s="156"/>
      <c r="AP108" s="156"/>
      <c r="AQ108" s="156"/>
      <c r="AR108" s="156"/>
      <c r="AS108" s="158">
        <v>41</v>
      </c>
      <c r="AT108" s="159"/>
      <c r="AU108" s="158">
        <v>41</v>
      </c>
      <c r="AV108" s="156"/>
      <c r="AW108" s="156"/>
      <c r="AX108" s="156"/>
      <c r="AY108" s="156"/>
      <c r="AZ108" s="156"/>
      <c r="BA108" s="156"/>
      <c r="BB108" s="159"/>
      <c r="BC108" s="160">
        <v>41</v>
      </c>
      <c r="BD108" s="161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4"/>
      <c r="AK109" s="155">
        <v>42</v>
      </c>
      <c r="AL109" s="156"/>
      <c r="AM109" s="156"/>
      <c r="AN109" s="156"/>
      <c r="AO109" s="156"/>
      <c r="AP109" s="156"/>
      <c r="AQ109" s="156"/>
      <c r="AR109" s="156"/>
      <c r="AS109" s="158">
        <v>42</v>
      </c>
      <c r="AT109" s="159"/>
      <c r="AU109" s="158">
        <v>42</v>
      </c>
      <c r="AV109" s="156"/>
      <c r="AW109" s="156"/>
      <c r="AX109" s="156"/>
      <c r="AY109" s="156"/>
      <c r="AZ109" s="156"/>
      <c r="BA109" s="156"/>
      <c r="BB109" s="159"/>
      <c r="BC109" s="160">
        <v>42</v>
      </c>
      <c r="BD109" s="161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4"/>
      <c r="AK110" s="155">
        <v>43</v>
      </c>
      <c r="AL110" s="156"/>
      <c r="AM110" s="157">
        <v>7.44</v>
      </c>
      <c r="AN110" s="156"/>
      <c r="AO110" s="157">
        <v>6.47</v>
      </c>
      <c r="AP110" s="156"/>
      <c r="AQ110" s="157">
        <v>6.05</v>
      </c>
      <c r="AR110" s="156"/>
      <c r="AS110" s="158">
        <v>43</v>
      </c>
      <c r="AT110" s="159"/>
      <c r="AU110" s="158">
        <v>43</v>
      </c>
      <c r="AV110" s="156"/>
      <c r="AW110" s="157">
        <v>5.7</v>
      </c>
      <c r="AX110" s="156"/>
      <c r="AY110" s="157">
        <v>7.42</v>
      </c>
      <c r="AZ110" s="156"/>
      <c r="BA110" s="157">
        <v>7.55</v>
      </c>
      <c r="BB110" s="159"/>
      <c r="BC110" s="160">
        <v>43</v>
      </c>
      <c r="BD110" s="161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4"/>
      <c r="AK111" s="155">
        <v>44</v>
      </c>
      <c r="AL111" s="156"/>
      <c r="AM111" s="156"/>
      <c r="AN111" s="156"/>
      <c r="AO111" s="156"/>
      <c r="AP111" s="156"/>
      <c r="AQ111" s="156"/>
      <c r="AR111" s="156"/>
      <c r="AS111" s="158">
        <v>44</v>
      </c>
      <c r="AT111" s="159"/>
      <c r="AU111" s="158">
        <v>44</v>
      </c>
      <c r="AV111" s="156"/>
      <c r="AW111" s="156"/>
      <c r="AX111" s="156"/>
      <c r="AY111" s="156"/>
      <c r="AZ111" s="156"/>
      <c r="BA111" s="156"/>
      <c r="BB111" s="159"/>
      <c r="BC111" s="160">
        <v>44</v>
      </c>
      <c r="BD111" s="161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4"/>
      <c r="AK112" s="155">
        <v>45</v>
      </c>
      <c r="AL112" s="156"/>
      <c r="AM112" s="156"/>
      <c r="AN112" s="156"/>
      <c r="AO112" s="156"/>
      <c r="AP112" s="156"/>
      <c r="AQ112" s="156"/>
      <c r="AR112" s="156"/>
      <c r="AS112" s="158">
        <v>45</v>
      </c>
      <c r="AT112" s="159"/>
      <c r="AU112" s="158">
        <v>45</v>
      </c>
      <c r="AV112" s="156"/>
      <c r="AW112" s="156"/>
      <c r="AX112" s="156"/>
      <c r="AY112" s="156"/>
      <c r="AZ112" s="156"/>
      <c r="BA112" s="156"/>
      <c r="BB112" s="159"/>
      <c r="BC112" s="160">
        <v>45</v>
      </c>
      <c r="BD112" s="161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4"/>
      <c r="AK113" s="155">
        <v>46</v>
      </c>
      <c r="AL113" s="156"/>
      <c r="AM113" s="157"/>
      <c r="AN113" s="156"/>
      <c r="AO113" s="157"/>
      <c r="AP113" s="156"/>
      <c r="AQ113" s="157"/>
      <c r="AR113" s="156"/>
      <c r="AS113" s="158">
        <v>46</v>
      </c>
      <c r="AT113" s="159"/>
      <c r="AU113" s="158">
        <v>46</v>
      </c>
      <c r="AV113" s="156"/>
      <c r="AW113" s="157"/>
      <c r="AX113" s="156"/>
      <c r="AY113" s="157"/>
      <c r="AZ113" s="156"/>
      <c r="BA113" s="157"/>
      <c r="BB113" s="159"/>
      <c r="BC113" s="160">
        <v>46</v>
      </c>
      <c r="BD113" s="161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4"/>
      <c r="AK114" s="155">
        <v>47</v>
      </c>
      <c r="AL114" s="156"/>
      <c r="AM114" s="156"/>
      <c r="AN114" s="156"/>
      <c r="AO114" s="156"/>
      <c r="AP114" s="156"/>
      <c r="AQ114" s="156"/>
      <c r="AR114" s="156"/>
      <c r="AS114" s="158">
        <v>47</v>
      </c>
      <c r="AT114" s="159"/>
      <c r="AU114" s="158">
        <v>47</v>
      </c>
      <c r="AV114" s="156"/>
      <c r="AW114" s="156"/>
      <c r="AX114" s="156"/>
      <c r="AY114" s="156"/>
      <c r="AZ114" s="156"/>
      <c r="BA114" s="156"/>
      <c r="BB114" s="159"/>
      <c r="BC114" s="160">
        <v>47</v>
      </c>
      <c r="BD114" s="161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4"/>
      <c r="AK115" s="155">
        <v>48</v>
      </c>
      <c r="AL115" s="156"/>
      <c r="AM115" s="156">
        <v>5.1100000000000003</v>
      </c>
      <c r="AN115" s="156"/>
      <c r="AO115" s="156">
        <v>6.26</v>
      </c>
      <c r="AP115" s="156"/>
      <c r="AQ115" s="156">
        <v>6.8</v>
      </c>
      <c r="AR115" s="156"/>
      <c r="AS115" s="158">
        <v>48</v>
      </c>
      <c r="AT115" s="159"/>
      <c r="AU115" s="158">
        <v>48</v>
      </c>
      <c r="AV115" s="156"/>
      <c r="AW115" s="156">
        <v>6.29</v>
      </c>
      <c r="AX115" s="156"/>
      <c r="AY115" s="156">
        <v>6.1</v>
      </c>
      <c r="AZ115" s="156"/>
      <c r="BA115" s="156">
        <v>6.37</v>
      </c>
      <c r="BB115" s="159"/>
      <c r="BC115" s="160">
        <v>48</v>
      </c>
      <c r="BD115" s="161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4"/>
      <c r="AK116" s="155">
        <v>49</v>
      </c>
      <c r="AL116" s="156"/>
      <c r="AM116" s="156"/>
      <c r="AN116" s="156"/>
      <c r="AO116" s="156"/>
      <c r="AP116" s="156"/>
      <c r="AQ116" s="156"/>
      <c r="AR116" s="156"/>
      <c r="AS116" s="158">
        <v>49</v>
      </c>
      <c r="AT116" s="159"/>
      <c r="AU116" s="158">
        <v>49</v>
      </c>
      <c r="AV116" s="156"/>
      <c r="AW116" s="156"/>
      <c r="AX116" s="156"/>
      <c r="AY116" s="156"/>
      <c r="AZ116" s="156"/>
      <c r="BA116" s="156"/>
      <c r="BB116" s="159"/>
      <c r="BC116" s="160">
        <v>49</v>
      </c>
      <c r="BD116" s="161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4"/>
      <c r="AK117" s="155">
        <v>50</v>
      </c>
      <c r="AL117" s="156"/>
      <c r="AM117" s="156"/>
      <c r="AN117" s="156"/>
      <c r="AO117" s="156"/>
      <c r="AP117" s="156"/>
      <c r="AQ117" s="156"/>
      <c r="AR117" s="156"/>
      <c r="AS117" s="158">
        <v>50</v>
      </c>
      <c r="AT117" s="159"/>
      <c r="AU117" s="158">
        <v>50</v>
      </c>
      <c r="AV117" s="156"/>
      <c r="AW117" s="156"/>
      <c r="AX117" s="156"/>
      <c r="AY117" s="156"/>
      <c r="AZ117" s="156"/>
      <c r="BA117" s="156"/>
      <c r="BB117" s="159"/>
      <c r="BC117" s="160">
        <v>50</v>
      </c>
      <c r="BD117" s="161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2"/>
      <c r="AK118" s="154"/>
      <c r="AL118" s="156"/>
      <c r="AM118" s="157"/>
      <c r="AN118" s="156"/>
      <c r="AO118" s="157"/>
      <c r="AP118" s="156"/>
      <c r="AQ118" s="157"/>
      <c r="AR118" s="156"/>
      <c r="AS118" s="159"/>
      <c r="AT118" s="162"/>
      <c r="AU118" s="159"/>
      <c r="AV118" s="156"/>
      <c r="AW118" s="157"/>
      <c r="AX118" s="156"/>
      <c r="AY118" s="157"/>
      <c r="AZ118" s="156"/>
      <c r="BA118" s="157"/>
      <c r="BB118" s="159"/>
      <c r="BC118" s="161"/>
      <c r="BD118" s="162"/>
    </row>
    <row r="119" spans="28:64" hidden="1" x14ac:dyDescent="0.25">
      <c r="AJ119" s="158" t="s">
        <v>200</v>
      </c>
      <c r="AK119" s="163"/>
      <c r="AL119" s="164"/>
      <c r="AM119" s="164"/>
      <c r="AN119" s="164"/>
      <c r="AO119" s="164"/>
      <c r="AP119" s="164"/>
      <c r="AQ119" s="164"/>
      <c r="AR119" s="164"/>
      <c r="AS119" s="165"/>
      <c r="AT119" s="158"/>
      <c r="AU119" s="165"/>
      <c r="AV119" s="164"/>
      <c r="AW119" s="164"/>
      <c r="AX119" s="164"/>
      <c r="AY119" s="164"/>
      <c r="AZ119" s="164"/>
      <c r="BA119" s="164"/>
      <c r="BB119" s="165"/>
      <c r="BC119" s="166"/>
      <c r="BD119" s="158"/>
    </row>
    <row r="120" spans="28:64" hidden="1" x14ac:dyDescent="0.25">
      <c r="AJ120" s="158"/>
      <c r="AK120" s="163"/>
      <c r="AL120" s="164"/>
      <c r="AM120" s="164"/>
      <c r="AN120" s="164"/>
      <c r="AO120" s="164"/>
      <c r="AP120" s="164"/>
      <c r="AQ120" s="164"/>
      <c r="AR120" s="164"/>
      <c r="AS120" s="165"/>
      <c r="AT120" s="158"/>
      <c r="AU120" s="165"/>
      <c r="AV120" s="164"/>
      <c r="AW120" s="164"/>
      <c r="AX120" s="164"/>
      <c r="AY120" s="164"/>
      <c r="AZ120" s="164"/>
      <c r="BA120" s="164"/>
      <c r="BB120" s="165"/>
      <c r="BC120" s="166"/>
      <c r="BD120" s="158"/>
    </row>
    <row r="121" spans="28:64" hidden="1" x14ac:dyDescent="0.25">
      <c r="AJ121" s="158"/>
      <c r="AK121" s="163"/>
      <c r="AL121" s="164"/>
      <c r="AM121" s="167"/>
      <c r="AN121" s="164"/>
      <c r="AO121" s="167"/>
      <c r="AP121" s="164"/>
      <c r="AQ121" s="167"/>
      <c r="AR121" s="164"/>
      <c r="AS121" s="165"/>
      <c r="AT121" s="158"/>
      <c r="AU121" s="165"/>
      <c r="AV121" s="164"/>
      <c r="AW121" s="167"/>
      <c r="AX121" s="164"/>
      <c r="AY121" s="167"/>
      <c r="AZ121" s="164"/>
      <c r="BA121" s="167"/>
      <c r="BB121" s="165"/>
      <c r="BC121" s="166"/>
      <c r="BD121" s="158"/>
    </row>
    <row r="122" spans="28:64" hidden="1" x14ac:dyDescent="0.25">
      <c r="AJ122" s="158"/>
      <c r="AK122" s="163"/>
      <c r="AL122" s="164"/>
      <c r="AM122" s="164"/>
      <c r="AN122" s="164"/>
      <c r="AO122" s="164"/>
      <c r="AP122" s="164"/>
      <c r="AQ122" s="164"/>
      <c r="AR122" s="164"/>
      <c r="AS122" s="165"/>
      <c r="AT122" s="158"/>
      <c r="AU122" s="165"/>
      <c r="AV122" s="164"/>
      <c r="AW122" s="164"/>
      <c r="AX122" s="164"/>
      <c r="AY122" s="164"/>
      <c r="AZ122" s="164"/>
      <c r="BA122" s="164"/>
      <c r="BB122" s="165"/>
      <c r="BC122" s="166"/>
      <c r="BD122" s="158"/>
    </row>
    <row r="123" spans="28:64" hidden="1" x14ac:dyDescent="0.25">
      <c r="AJ123" s="158"/>
      <c r="AK123" s="163"/>
      <c r="AL123" s="164"/>
      <c r="AM123" s="164"/>
      <c r="AN123" s="164"/>
      <c r="AO123" s="164"/>
      <c r="AP123" s="164"/>
      <c r="AQ123" s="164"/>
      <c r="AR123" s="164"/>
      <c r="AS123" s="165"/>
      <c r="AT123" s="158"/>
      <c r="AU123" s="165"/>
      <c r="AV123" s="164"/>
      <c r="AW123" s="164"/>
      <c r="AX123" s="164"/>
      <c r="AY123" s="164"/>
      <c r="AZ123" s="164"/>
      <c r="BA123" s="164"/>
      <c r="BB123" s="165"/>
      <c r="BC123" s="166"/>
      <c r="BD123" s="158"/>
    </row>
    <row r="124" spans="28:64" hidden="1" x14ac:dyDescent="0.25">
      <c r="AJ124" s="158"/>
      <c r="AK124" s="163"/>
      <c r="AL124" s="164"/>
      <c r="AM124" s="164"/>
      <c r="AN124" s="164"/>
      <c r="AO124" s="164"/>
      <c r="AP124" s="164"/>
      <c r="AQ124" s="164"/>
      <c r="AR124" s="164"/>
      <c r="AS124" s="165"/>
      <c r="AT124" s="158"/>
      <c r="AU124" s="165"/>
      <c r="AV124" s="164"/>
      <c r="AW124" s="164"/>
      <c r="AX124" s="164"/>
      <c r="AY124" s="164"/>
      <c r="AZ124" s="164"/>
      <c r="BA124" s="164"/>
      <c r="BB124" s="165"/>
      <c r="BC124" s="166"/>
      <c r="BD124" s="158"/>
    </row>
    <row r="125" spans="28:64" hidden="1" x14ac:dyDescent="0.25">
      <c r="AJ125" s="158"/>
      <c r="AK125" s="163"/>
      <c r="AL125" s="164"/>
      <c r="AM125" s="164"/>
      <c r="AN125" s="164"/>
      <c r="AO125" s="164"/>
      <c r="AP125" s="164"/>
      <c r="AQ125" s="164"/>
      <c r="AR125" s="164"/>
      <c r="AS125" s="165"/>
      <c r="AT125" s="158"/>
      <c r="AU125" s="165"/>
      <c r="AV125" s="164"/>
      <c r="AW125" s="164"/>
      <c r="AX125" s="164"/>
      <c r="AY125" s="164"/>
      <c r="AZ125" s="164"/>
      <c r="BA125" s="164"/>
      <c r="BB125" s="165"/>
      <c r="BC125" s="166"/>
      <c r="BD125" s="158"/>
    </row>
    <row r="126" spans="28:64" hidden="1" x14ac:dyDescent="0.25">
      <c r="AJ126" s="158"/>
      <c r="AK126" s="163"/>
      <c r="AL126" s="164"/>
      <c r="AM126" s="167"/>
      <c r="AN126" s="164"/>
      <c r="AO126" s="167"/>
      <c r="AP126" s="164"/>
      <c r="AQ126" s="167"/>
      <c r="AR126" s="164"/>
      <c r="AS126" s="165"/>
      <c r="AT126" s="158"/>
      <c r="AU126" s="165"/>
      <c r="AV126" s="164"/>
      <c r="AW126" s="167"/>
      <c r="AX126" s="164"/>
      <c r="AY126" s="167"/>
      <c r="AZ126" s="164"/>
      <c r="BA126" s="167"/>
      <c r="BB126" s="165"/>
      <c r="BC126" s="166"/>
      <c r="BD126" s="158"/>
    </row>
    <row r="127" spans="28:64" hidden="1" x14ac:dyDescent="0.25">
      <c r="AJ127" s="158"/>
      <c r="AK127" s="163"/>
      <c r="AL127" s="164"/>
      <c r="AM127" s="164"/>
      <c r="AN127" s="164"/>
      <c r="AO127" s="164"/>
      <c r="AP127" s="164"/>
      <c r="AQ127" s="164"/>
      <c r="AR127" s="164"/>
      <c r="AS127" s="165"/>
      <c r="AT127" s="158"/>
      <c r="AU127" s="165"/>
      <c r="AV127" s="164"/>
      <c r="AW127" s="164"/>
      <c r="AX127" s="164"/>
      <c r="AY127" s="164"/>
      <c r="AZ127" s="164"/>
      <c r="BA127" s="164"/>
      <c r="BB127" s="165"/>
      <c r="BC127" s="166"/>
      <c r="BD127" s="158"/>
    </row>
    <row r="128" spans="28:64" hidden="1" x14ac:dyDescent="0.25">
      <c r="AJ128" s="158"/>
      <c r="AK128" s="163"/>
      <c r="AL128" s="164"/>
      <c r="AM128" s="164"/>
      <c r="AN128" s="164"/>
      <c r="AO128" s="164"/>
      <c r="AP128" s="164"/>
      <c r="AQ128" s="164"/>
      <c r="AR128" s="164"/>
      <c r="AS128" s="165"/>
      <c r="AT128" s="158"/>
      <c r="AU128" s="165"/>
      <c r="AV128" s="164"/>
      <c r="AW128" s="164"/>
      <c r="AX128" s="164"/>
      <c r="AY128" s="164"/>
      <c r="AZ128" s="164"/>
      <c r="BA128" s="164"/>
      <c r="BB128" s="165"/>
      <c r="BC128" s="166"/>
      <c r="BD128" s="158"/>
    </row>
    <row r="129" spans="36:56" hidden="1" x14ac:dyDescent="0.25">
      <c r="AJ129" s="158"/>
      <c r="AK129" s="163"/>
      <c r="AL129" s="164"/>
      <c r="AM129" s="167"/>
      <c r="AN129" s="164"/>
      <c r="AO129" s="167"/>
      <c r="AP129" s="164"/>
      <c r="AQ129" s="167"/>
      <c r="AR129" s="164"/>
      <c r="AS129" s="165"/>
      <c r="AT129" s="158"/>
      <c r="AU129" s="165"/>
      <c r="AV129" s="164"/>
      <c r="AW129" s="167"/>
      <c r="AX129" s="164"/>
      <c r="AY129" s="167"/>
      <c r="AZ129" s="164"/>
      <c r="BA129" s="167"/>
      <c r="BB129" s="165"/>
      <c r="BC129" s="166"/>
      <c r="BD129" s="158"/>
    </row>
    <row r="130" spans="36:56" hidden="1" x14ac:dyDescent="0.25">
      <c r="AJ130" s="158"/>
      <c r="AK130" s="163"/>
      <c r="AL130" s="164"/>
      <c r="AM130" s="164"/>
      <c r="AN130" s="164"/>
      <c r="AO130" s="164"/>
      <c r="AP130" s="164"/>
      <c r="AQ130" s="164"/>
      <c r="AR130" s="164"/>
      <c r="AS130" s="165"/>
      <c r="AT130" s="158"/>
      <c r="AU130" s="165"/>
      <c r="AV130" s="164"/>
      <c r="AW130" s="164"/>
      <c r="AX130" s="164"/>
      <c r="AY130" s="164"/>
      <c r="AZ130" s="164"/>
      <c r="BA130" s="164"/>
      <c r="BB130" s="165"/>
      <c r="BC130" s="166"/>
      <c r="BD130" s="158"/>
    </row>
    <row r="131" spans="36:56" hidden="1" x14ac:dyDescent="0.25">
      <c r="AJ131" s="158"/>
      <c r="AK131" s="163"/>
      <c r="AL131" s="164"/>
      <c r="AM131" s="164"/>
      <c r="AN131" s="164"/>
      <c r="AO131" s="164"/>
      <c r="AP131" s="164"/>
      <c r="AQ131" s="164"/>
      <c r="AR131" s="164"/>
      <c r="AS131" s="165"/>
      <c r="AT131" s="158"/>
      <c r="AU131" s="165"/>
      <c r="AV131" s="164"/>
      <c r="AW131" s="164"/>
      <c r="AX131" s="164"/>
      <c r="AY131" s="164"/>
      <c r="AZ131" s="164"/>
      <c r="BA131" s="164"/>
      <c r="BB131" s="165"/>
      <c r="BC131" s="166"/>
      <c r="BD131" s="158"/>
    </row>
    <row r="132" spans="36:56" hidden="1" x14ac:dyDescent="0.25">
      <c r="AJ132" s="158"/>
      <c r="AK132" s="163"/>
      <c r="AL132" s="164"/>
      <c r="AM132" s="164"/>
      <c r="AN132" s="164"/>
      <c r="AO132" s="164"/>
      <c r="AP132" s="164"/>
      <c r="AQ132" s="164"/>
      <c r="AR132" s="164"/>
      <c r="AS132" s="165"/>
      <c r="AT132" s="158"/>
      <c r="AU132" s="165"/>
      <c r="AV132" s="164"/>
      <c r="AW132" s="164"/>
      <c r="AX132" s="164"/>
      <c r="AY132" s="164"/>
      <c r="AZ132" s="164"/>
      <c r="BA132" s="164"/>
      <c r="BB132" s="165"/>
      <c r="BC132" s="166"/>
      <c r="BD132" s="158"/>
    </row>
    <row r="133" spans="36:56" hidden="1" x14ac:dyDescent="0.25">
      <c r="AJ133" s="158"/>
      <c r="AK133" s="163"/>
      <c r="AL133" s="164"/>
      <c r="AM133" s="164"/>
      <c r="AN133" s="164"/>
      <c r="AO133" s="164"/>
      <c r="AP133" s="164"/>
      <c r="AQ133" s="164"/>
      <c r="AR133" s="164"/>
      <c r="AS133" s="165"/>
      <c r="AT133" s="158"/>
      <c r="AU133" s="165"/>
      <c r="AV133" s="164"/>
      <c r="AW133" s="164"/>
      <c r="AX133" s="164"/>
      <c r="AY133" s="164"/>
      <c r="AZ133" s="164"/>
      <c r="BA133" s="164"/>
      <c r="BB133" s="165"/>
      <c r="BC133" s="166"/>
      <c r="BD133" s="158"/>
    </row>
    <row r="134" spans="36:56" hidden="1" x14ac:dyDescent="0.25">
      <c r="AJ134" s="158" t="s">
        <v>201</v>
      </c>
      <c r="AK134" s="163"/>
      <c r="AL134" s="164"/>
      <c r="AM134" s="167"/>
      <c r="AN134" s="164"/>
      <c r="AO134" s="167"/>
      <c r="AP134" s="164"/>
      <c r="AQ134" s="167"/>
      <c r="AR134" s="164"/>
      <c r="AS134" s="165"/>
      <c r="AT134" s="158"/>
      <c r="AU134" s="165"/>
      <c r="AV134" s="164"/>
      <c r="AW134" s="167"/>
      <c r="AX134" s="164"/>
      <c r="AY134" s="167"/>
      <c r="AZ134" s="164"/>
      <c r="BA134" s="167"/>
      <c r="BB134" s="165"/>
      <c r="BC134" s="166"/>
      <c r="BD134" s="158"/>
    </row>
    <row r="135" spans="36:56" hidden="1" x14ac:dyDescent="0.25">
      <c r="AJ135" s="158" t="s">
        <v>201</v>
      </c>
      <c r="AK135" s="163"/>
      <c r="AL135" s="164"/>
      <c r="AM135" s="164"/>
      <c r="AN135" s="164"/>
      <c r="AO135" s="164"/>
      <c r="AP135" s="164"/>
      <c r="AQ135" s="164"/>
      <c r="AR135" s="164"/>
      <c r="AS135" s="165"/>
      <c r="AT135" s="158"/>
      <c r="AU135" s="165"/>
      <c r="AV135" s="164"/>
      <c r="AW135" s="164"/>
      <c r="AX135" s="164"/>
      <c r="AY135" s="164"/>
      <c r="AZ135" s="164"/>
      <c r="BA135" s="164"/>
      <c r="BB135" s="165"/>
      <c r="BC135" s="166"/>
      <c r="BD135" s="158"/>
    </row>
    <row r="136" spans="36:56" hidden="1" x14ac:dyDescent="0.25">
      <c r="AJ136" s="158"/>
      <c r="AK136" s="163"/>
      <c r="AL136" s="164"/>
      <c r="AM136" s="164"/>
      <c r="AN136" s="164"/>
      <c r="AO136" s="164"/>
      <c r="AP136" s="164"/>
      <c r="AQ136" s="164"/>
      <c r="AR136" s="164"/>
      <c r="AS136" s="165"/>
      <c r="AT136" s="158"/>
      <c r="AU136" s="165"/>
      <c r="AV136" s="164"/>
      <c r="AW136" s="164"/>
      <c r="AX136" s="164"/>
      <c r="AY136" s="164"/>
      <c r="AZ136" s="164"/>
      <c r="BA136" s="164"/>
      <c r="BB136" s="165"/>
      <c r="BC136" s="166"/>
      <c r="BD136" s="158"/>
    </row>
    <row r="137" spans="36:56" hidden="1" x14ac:dyDescent="0.25">
      <c r="AJ137" s="158"/>
      <c r="AK137" s="163"/>
      <c r="AL137" s="164"/>
      <c r="AM137" s="167"/>
      <c r="AN137" s="164"/>
      <c r="AO137" s="167"/>
      <c r="AP137" s="164"/>
      <c r="AQ137" s="167"/>
      <c r="AR137" s="164"/>
      <c r="AS137" s="165"/>
      <c r="AT137" s="158"/>
      <c r="AU137" s="165"/>
      <c r="AV137" s="164"/>
      <c r="AW137" s="167"/>
      <c r="AX137" s="164"/>
      <c r="AY137" s="167"/>
      <c r="AZ137" s="164"/>
      <c r="BA137" s="167"/>
      <c r="BB137" s="165"/>
      <c r="BC137" s="166"/>
      <c r="BD137" s="158"/>
    </row>
    <row r="138" spans="36:56" hidden="1" x14ac:dyDescent="0.25">
      <c r="AJ138" s="158"/>
      <c r="AK138" s="163"/>
      <c r="AL138" s="164"/>
      <c r="AM138" s="164"/>
      <c r="AN138" s="164"/>
      <c r="AO138" s="164"/>
      <c r="AP138" s="164"/>
      <c r="AQ138" s="164"/>
      <c r="AR138" s="164"/>
      <c r="AS138" s="165"/>
      <c r="AT138" s="158"/>
      <c r="AU138" s="165"/>
      <c r="AV138" s="164"/>
      <c r="AW138" s="164"/>
      <c r="AX138" s="164"/>
      <c r="AY138" s="164"/>
      <c r="AZ138" s="164"/>
      <c r="BA138" s="164"/>
      <c r="BB138" s="165"/>
      <c r="BC138" s="166"/>
      <c r="BD138" s="158"/>
    </row>
    <row r="139" spans="36:56" hidden="1" x14ac:dyDescent="0.25">
      <c r="AJ139" s="158"/>
      <c r="AK139" s="163"/>
      <c r="AL139" s="164"/>
      <c r="AM139" s="164"/>
      <c r="AN139" s="164"/>
      <c r="AO139" s="164"/>
      <c r="AP139" s="164"/>
      <c r="AQ139" s="164"/>
      <c r="AR139" s="164"/>
      <c r="AS139" s="165"/>
      <c r="AT139" s="158"/>
      <c r="AU139" s="165"/>
      <c r="AV139" s="164"/>
      <c r="AW139" s="164"/>
      <c r="AX139" s="164"/>
      <c r="AY139" s="164"/>
      <c r="AZ139" s="164"/>
      <c r="BA139" s="164"/>
      <c r="BB139" s="165"/>
      <c r="BC139" s="166"/>
      <c r="BD139" s="158"/>
    </row>
    <row r="140" spans="36:56" hidden="1" x14ac:dyDescent="0.25">
      <c r="AJ140" s="158"/>
      <c r="AK140" s="163"/>
      <c r="AL140" s="164"/>
      <c r="AM140" s="164"/>
      <c r="AN140" s="164"/>
      <c r="AO140" s="164"/>
      <c r="AP140" s="164"/>
      <c r="AQ140" s="164"/>
      <c r="AR140" s="164"/>
      <c r="AS140" s="165"/>
      <c r="AT140" s="158"/>
      <c r="AU140" s="165"/>
      <c r="AV140" s="164"/>
      <c r="AW140" s="164"/>
      <c r="AX140" s="164"/>
      <c r="AY140" s="164"/>
      <c r="AZ140" s="164"/>
      <c r="BA140" s="164"/>
      <c r="BB140" s="165"/>
      <c r="BC140" s="166"/>
      <c r="BD140" s="158"/>
    </row>
    <row r="141" spans="36:56" hidden="1" x14ac:dyDescent="0.25">
      <c r="AJ141" s="158"/>
      <c r="AK141" s="163"/>
      <c r="AL141" s="164"/>
      <c r="AM141" s="164"/>
      <c r="AN141" s="164"/>
      <c r="AO141" s="164"/>
      <c r="AP141" s="164"/>
      <c r="AQ141" s="164"/>
      <c r="AR141" s="164"/>
      <c r="AS141" s="165"/>
      <c r="AT141" s="158"/>
      <c r="AU141" s="165"/>
      <c r="AV141" s="164"/>
      <c r="AW141" s="164"/>
      <c r="AX141" s="164"/>
      <c r="AY141" s="164"/>
      <c r="AZ141" s="164"/>
      <c r="BA141" s="164"/>
      <c r="BB141" s="165"/>
      <c r="BC141" s="166"/>
      <c r="BD141" s="158"/>
    </row>
    <row r="142" spans="36:56" hidden="1" x14ac:dyDescent="0.25">
      <c r="AJ142" s="158"/>
      <c r="AK142" s="163"/>
      <c r="AL142" s="164"/>
      <c r="AM142" s="167"/>
      <c r="AN142" s="164"/>
      <c r="AO142" s="167"/>
      <c r="AP142" s="164"/>
      <c r="AQ142" s="167"/>
      <c r="AR142" s="164"/>
      <c r="AS142" s="165"/>
      <c r="AT142" s="158"/>
      <c r="AU142" s="165"/>
      <c r="AV142" s="164"/>
      <c r="AW142" s="167"/>
      <c r="AX142" s="164"/>
      <c r="AY142" s="167"/>
      <c r="AZ142" s="164"/>
      <c r="BA142" s="167"/>
      <c r="BB142" s="165"/>
      <c r="BC142" s="166"/>
      <c r="BD142" s="158"/>
    </row>
    <row r="143" spans="36:56" hidden="1" x14ac:dyDescent="0.25">
      <c r="AJ143" s="158"/>
      <c r="AK143" s="163"/>
      <c r="AL143" s="164"/>
      <c r="AM143" s="164"/>
      <c r="AN143" s="164"/>
      <c r="AO143" s="164"/>
      <c r="AP143" s="164"/>
      <c r="AQ143" s="164"/>
      <c r="AR143" s="164"/>
      <c r="AS143" s="165"/>
      <c r="AT143" s="158"/>
      <c r="AU143" s="165"/>
      <c r="AV143" s="164"/>
      <c r="AW143" s="164"/>
      <c r="AX143" s="164"/>
      <c r="AY143" s="164"/>
      <c r="AZ143" s="164"/>
      <c r="BA143" s="164"/>
      <c r="BB143" s="165"/>
      <c r="BC143" s="166"/>
      <c r="BD143" s="158"/>
    </row>
    <row r="144" spans="36:56" hidden="1" x14ac:dyDescent="0.25">
      <c r="AJ144" s="162"/>
      <c r="AK144" s="154"/>
      <c r="AL144" s="156"/>
      <c r="AM144" s="156"/>
      <c r="AN144" s="156"/>
      <c r="AO144" s="156"/>
      <c r="AP144" s="156"/>
      <c r="AQ144" s="156"/>
      <c r="AR144" s="156"/>
      <c r="AS144" s="159"/>
      <c r="AT144" s="162"/>
      <c r="AU144" s="159"/>
      <c r="AV144" s="156"/>
      <c r="AW144" s="156"/>
      <c r="AX144" s="156"/>
      <c r="AY144" s="156"/>
      <c r="AZ144" s="156"/>
      <c r="BA144" s="156"/>
      <c r="BB144" s="159"/>
      <c r="BC144" s="161"/>
      <c r="BD144" s="162"/>
    </row>
    <row r="145" spans="36:56" hidden="1" x14ac:dyDescent="0.25">
      <c r="AJ145" s="162"/>
      <c r="AK145" s="154"/>
      <c r="AL145" s="156"/>
      <c r="AM145" s="157"/>
      <c r="AN145" s="156"/>
      <c r="AO145" s="157"/>
      <c r="AP145" s="156"/>
      <c r="AQ145" s="157"/>
      <c r="AR145" s="156"/>
      <c r="AS145" s="159"/>
      <c r="AT145" s="162"/>
      <c r="AU145" s="159"/>
      <c r="AV145" s="156"/>
      <c r="AW145" s="157"/>
      <c r="AX145" s="156"/>
      <c r="AY145" s="157"/>
      <c r="AZ145" s="156"/>
      <c r="BA145" s="157"/>
      <c r="BB145" s="159"/>
      <c r="BC145" s="161"/>
      <c r="BD145" s="162"/>
    </row>
    <row r="146" spans="36:56" hidden="1" x14ac:dyDescent="0.25">
      <c r="AJ146" s="162"/>
      <c r="AK146" s="154"/>
      <c r="AL146" s="156"/>
      <c r="AM146" s="156"/>
      <c r="AN146" s="156"/>
      <c r="AO146" s="156"/>
      <c r="AP146" s="156"/>
      <c r="AQ146" s="156"/>
      <c r="AR146" s="156"/>
      <c r="AS146" s="159"/>
      <c r="AT146" s="162"/>
      <c r="AU146" s="159"/>
      <c r="AV146" s="156"/>
      <c r="AW146" s="156"/>
      <c r="AX146" s="156"/>
      <c r="AY146" s="156"/>
      <c r="AZ146" s="156"/>
      <c r="BA146" s="156"/>
      <c r="BB146" s="159"/>
      <c r="BC146" s="161"/>
      <c r="BD146" s="162"/>
    </row>
    <row r="147" spans="36:56" hidden="1" x14ac:dyDescent="0.25">
      <c r="AJ147" s="162"/>
      <c r="AK147" s="154"/>
      <c r="AL147" s="156"/>
      <c r="AM147" s="156"/>
      <c r="AN147" s="156"/>
      <c r="AO147" s="156"/>
      <c r="AP147" s="156"/>
      <c r="AQ147" s="156"/>
      <c r="AR147" s="156"/>
      <c r="AS147" s="159"/>
      <c r="AT147" s="162"/>
      <c r="AU147" s="159"/>
      <c r="AV147" s="156"/>
      <c r="AW147" s="156"/>
      <c r="AX147" s="156"/>
      <c r="AY147" s="156"/>
      <c r="AZ147" s="156"/>
      <c r="BA147" s="156"/>
      <c r="BB147" s="159"/>
      <c r="BC147" s="161"/>
      <c r="BD147" s="162"/>
    </row>
    <row r="148" spans="36:56" hidden="1" x14ac:dyDescent="0.25">
      <c r="AJ148" s="162"/>
      <c r="AK148" s="154"/>
      <c r="AL148" s="156"/>
      <c r="AM148" s="156"/>
      <c r="AN148" s="156"/>
      <c r="AO148" s="156"/>
      <c r="AP148" s="156"/>
      <c r="AQ148" s="156"/>
      <c r="AR148" s="156"/>
      <c r="AS148" s="159"/>
      <c r="AT148" s="162"/>
      <c r="AU148" s="159"/>
      <c r="AV148" s="156"/>
      <c r="AW148" s="156"/>
      <c r="AX148" s="156"/>
      <c r="AY148" s="156"/>
      <c r="AZ148" s="156"/>
      <c r="BA148" s="156"/>
      <c r="BB148" s="159"/>
      <c r="BC148" s="161"/>
      <c r="BD148" s="162"/>
    </row>
    <row r="149" spans="36:56" hidden="1" x14ac:dyDescent="0.25">
      <c r="AJ149" s="162"/>
      <c r="AK149" s="154"/>
      <c r="AL149" s="156"/>
      <c r="AM149" s="156"/>
      <c r="AN149" s="156"/>
      <c r="AO149" s="156"/>
      <c r="AP149" s="156"/>
      <c r="AQ149" s="156"/>
      <c r="AR149" s="156"/>
      <c r="AS149" s="159"/>
      <c r="AT149" s="162"/>
      <c r="AU149" s="159"/>
      <c r="AV149" s="156"/>
      <c r="AW149" s="156"/>
      <c r="AX149" s="156"/>
      <c r="AY149" s="156"/>
      <c r="AZ149" s="156"/>
      <c r="BA149" s="156"/>
      <c r="BB149" s="159"/>
      <c r="BC149" s="161"/>
      <c r="BD149" s="162"/>
    </row>
    <row r="150" spans="36:56" hidden="1" x14ac:dyDescent="0.25">
      <c r="AJ150" s="162"/>
      <c r="AK150" s="154"/>
      <c r="AL150" s="156"/>
      <c r="AM150" s="157"/>
      <c r="AN150" s="156"/>
      <c r="AO150" s="157"/>
      <c r="AP150" s="156"/>
      <c r="AQ150" s="157"/>
      <c r="AR150" s="156"/>
      <c r="AS150" s="159"/>
      <c r="AT150" s="162"/>
      <c r="AU150" s="159"/>
      <c r="AV150" s="156"/>
      <c r="AW150" s="157"/>
      <c r="AX150" s="156"/>
      <c r="AY150" s="157"/>
      <c r="AZ150" s="156"/>
      <c r="BA150" s="157"/>
      <c r="BB150" s="159"/>
      <c r="BC150" s="161"/>
      <c r="BD150" s="162"/>
    </row>
    <row r="151" spans="36:56" hidden="1" x14ac:dyDescent="0.25">
      <c r="AJ151" s="162" t="s">
        <v>201</v>
      </c>
      <c r="AK151" s="154"/>
      <c r="AL151" s="156"/>
      <c r="AM151" s="156"/>
      <c r="AN151" s="156"/>
      <c r="AO151" s="156"/>
      <c r="AP151" s="156"/>
      <c r="AQ151" s="156"/>
      <c r="AR151" s="156"/>
      <c r="AS151" s="159"/>
      <c r="AT151" s="162"/>
      <c r="AU151" s="159"/>
      <c r="AV151" s="156"/>
      <c r="AW151" s="156"/>
      <c r="AX151" s="156"/>
      <c r="AY151" s="156"/>
      <c r="AZ151" s="156"/>
      <c r="BA151" s="156"/>
      <c r="BB151" s="159"/>
      <c r="BC151" s="161"/>
      <c r="BD151" s="162"/>
    </row>
    <row r="152" spans="36:56" hidden="1" x14ac:dyDescent="0.25">
      <c r="AJ152" s="162"/>
      <c r="AK152" s="154"/>
      <c r="AL152" s="156"/>
      <c r="AM152" s="156"/>
      <c r="AN152" s="156"/>
      <c r="AO152" s="156"/>
      <c r="AP152" s="156"/>
      <c r="AQ152" s="156"/>
      <c r="AR152" s="156"/>
      <c r="AS152" s="159"/>
      <c r="AT152" s="162"/>
      <c r="AU152" s="159"/>
      <c r="AV152" s="156"/>
      <c r="AW152" s="156"/>
      <c r="AX152" s="156"/>
      <c r="AY152" s="156"/>
      <c r="AZ152" s="156"/>
      <c r="BA152" s="156"/>
      <c r="BB152" s="159"/>
      <c r="BC152" s="161"/>
      <c r="BD152" s="162"/>
    </row>
    <row r="153" spans="36:56" hidden="1" x14ac:dyDescent="0.25">
      <c r="AJ153" s="162"/>
      <c r="AK153" s="154"/>
      <c r="AL153" s="156"/>
      <c r="AM153" s="157"/>
      <c r="AN153" s="156"/>
      <c r="AO153" s="157"/>
      <c r="AP153" s="156"/>
      <c r="AQ153" s="157"/>
      <c r="AR153" s="156"/>
      <c r="AS153" s="159"/>
      <c r="AT153" s="162"/>
      <c r="AU153" s="159"/>
      <c r="AV153" s="156"/>
      <c r="AW153" s="157"/>
      <c r="AX153" s="156"/>
      <c r="AY153" s="157"/>
      <c r="AZ153" s="156"/>
      <c r="BA153" s="157"/>
      <c r="BB153" s="159"/>
      <c r="BC153" s="161"/>
      <c r="BD153" s="162"/>
    </row>
    <row r="154" spans="36:56" hidden="1" x14ac:dyDescent="0.25">
      <c r="AJ154" s="162"/>
      <c r="AK154" s="154"/>
      <c r="AL154" s="156"/>
      <c r="AM154" s="156"/>
      <c r="AN154" s="156"/>
      <c r="AO154" s="156"/>
      <c r="AP154" s="156"/>
      <c r="AQ154" s="156"/>
      <c r="AR154" s="156"/>
      <c r="AS154" s="159"/>
      <c r="AT154" s="162"/>
      <c r="AU154" s="159"/>
      <c r="AV154" s="156"/>
      <c r="AW154" s="156"/>
      <c r="AX154" s="156"/>
      <c r="AY154" s="156"/>
      <c r="AZ154" s="156"/>
      <c r="BA154" s="156"/>
      <c r="BB154" s="159"/>
      <c r="BC154" s="161"/>
      <c r="BD154" s="162"/>
    </row>
    <row r="155" spans="36:56" hidden="1" x14ac:dyDescent="0.25">
      <c r="AJ155" s="162"/>
      <c r="AK155" s="154"/>
      <c r="AL155" s="156"/>
      <c r="AM155" s="156"/>
      <c r="AN155" s="156"/>
      <c r="AO155" s="156"/>
      <c r="AP155" s="156"/>
      <c r="AQ155" s="156"/>
      <c r="AR155" s="156"/>
      <c r="AS155" s="159"/>
      <c r="AT155" s="162"/>
      <c r="AU155" s="159"/>
      <c r="AV155" s="156"/>
      <c r="AW155" s="156"/>
      <c r="AX155" s="156"/>
      <c r="AY155" s="156"/>
      <c r="AZ155" s="156"/>
      <c r="BA155" s="156"/>
      <c r="BB155" s="159"/>
      <c r="BC155" s="161"/>
      <c r="BD155" s="162"/>
    </row>
    <row r="156" spans="36:56" hidden="1" x14ac:dyDescent="0.25">
      <c r="AJ156" s="162"/>
      <c r="AK156" s="154"/>
      <c r="AL156" s="156"/>
      <c r="AM156" s="156"/>
      <c r="AN156" s="156"/>
      <c r="AO156" s="156"/>
      <c r="AP156" s="156"/>
      <c r="AQ156" s="156"/>
      <c r="AR156" s="156"/>
      <c r="AS156" s="159"/>
      <c r="AT156" s="162"/>
      <c r="AU156" s="159"/>
      <c r="AV156" s="156"/>
      <c r="AW156" s="156"/>
      <c r="AX156" s="156"/>
      <c r="AY156" s="156"/>
      <c r="AZ156" s="156"/>
      <c r="BA156" s="156"/>
      <c r="BB156" s="159"/>
      <c r="BC156" s="161"/>
      <c r="BD156" s="162"/>
    </row>
    <row r="157" spans="36:56" hidden="1" x14ac:dyDescent="0.25">
      <c r="AJ157" s="162"/>
      <c r="AK157" s="154"/>
      <c r="AL157" s="156"/>
      <c r="AM157" s="156"/>
      <c r="AN157" s="156"/>
      <c r="AO157" s="156"/>
      <c r="AP157" s="156"/>
      <c r="AQ157" s="156"/>
      <c r="AR157" s="156"/>
      <c r="AS157" s="159"/>
      <c r="AT157" s="162"/>
      <c r="AU157" s="159"/>
      <c r="AV157" s="156"/>
      <c r="AW157" s="156"/>
      <c r="AX157" s="156"/>
      <c r="AY157" s="156"/>
      <c r="AZ157" s="156"/>
      <c r="BA157" s="156"/>
      <c r="BB157" s="159"/>
      <c r="BC157" s="161"/>
      <c r="BD157" s="162"/>
    </row>
    <row r="158" spans="36:56" hidden="1" x14ac:dyDescent="0.25">
      <c r="AJ158" s="162"/>
      <c r="AK158" s="154"/>
      <c r="AL158" s="156"/>
      <c r="AM158" s="157"/>
      <c r="AN158" s="156"/>
      <c r="AO158" s="157"/>
      <c r="AP158" s="156"/>
      <c r="AQ158" s="157"/>
      <c r="AR158" s="156"/>
      <c r="AS158" s="159"/>
      <c r="AT158" s="162"/>
      <c r="AU158" s="159"/>
      <c r="AV158" s="156"/>
      <c r="AW158" s="157"/>
      <c r="AX158" s="156"/>
      <c r="AY158" s="157"/>
      <c r="AZ158" s="156"/>
      <c r="BA158" s="157"/>
      <c r="BB158" s="159"/>
      <c r="BC158" s="161"/>
      <c r="BD158" s="162"/>
    </row>
    <row r="159" spans="36:56" hidden="1" x14ac:dyDescent="0.25">
      <c r="AJ159" s="162"/>
      <c r="AK159" s="154"/>
      <c r="AL159" s="156"/>
      <c r="AM159" s="156"/>
      <c r="AN159" s="156"/>
      <c r="AO159" s="156"/>
      <c r="AP159" s="156"/>
      <c r="AQ159" s="156"/>
      <c r="AR159" s="156"/>
      <c r="AS159" s="159"/>
      <c r="AT159" s="162"/>
      <c r="AU159" s="159"/>
      <c r="AV159" s="156"/>
      <c r="AW159" s="156"/>
      <c r="AX159" s="156"/>
      <c r="AY159" s="156"/>
      <c r="AZ159" s="156"/>
      <c r="BA159" s="156"/>
      <c r="BB159" s="159"/>
      <c r="BC159" s="161"/>
      <c r="BD159" s="162"/>
    </row>
    <row r="160" spans="36:56" hidden="1" x14ac:dyDescent="0.25">
      <c r="AJ160" s="162"/>
      <c r="AK160" s="154"/>
      <c r="AL160" s="156"/>
      <c r="AM160" s="156"/>
      <c r="AN160" s="156"/>
      <c r="AO160" s="156"/>
      <c r="AP160" s="156"/>
      <c r="AQ160" s="156"/>
      <c r="AR160" s="156"/>
      <c r="AS160" s="159"/>
      <c r="AT160" s="162"/>
      <c r="AU160" s="159"/>
      <c r="AV160" s="156"/>
      <c r="AW160" s="156"/>
      <c r="AX160" s="156"/>
      <c r="AY160" s="156"/>
      <c r="AZ160" s="156"/>
      <c r="BA160" s="156"/>
      <c r="BB160" s="159"/>
      <c r="BC160" s="161"/>
      <c r="BD160" s="162"/>
    </row>
    <row r="161" spans="36:56" hidden="1" x14ac:dyDescent="0.25">
      <c r="AJ161" s="162"/>
      <c r="AK161" s="154"/>
      <c r="AL161" s="156"/>
      <c r="AM161" s="157"/>
      <c r="AN161" s="156"/>
      <c r="AO161" s="157"/>
      <c r="AP161" s="156"/>
      <c r="AQ161" s="157"/>
      <c r="AR161" s="156"/>
      <c r="AS161" s="159"/>
      <c r="AT161" s="162"/>
      <c r="AU161" s="159"/>
      <c r="AV161" s="156"/>
      <c r="AW161" s="157"/>
      <c r="AX161" s="156"/>
      <c r="AY161" s="157"/>
      <c r="AZ161" s="156"/>
      <c r="BA161" s="157"/>
      <c r="BB161" s="159"/>
      <c r="BC161" s="161"/>
      <c r="BD161" s="162"/>
    </row>
    <row r="162" spans="36:56" hidden="1" x14ac:dyDescent="0.25">
      <c r="AJ162" s="162"/>
      <c r="AK162" s="154"/>
      <c r="AL162" s="156"/>
      <c r="AM162" s="156"/>
      <c r="AN162" s="156"/>
      <c r="AO162" s="156"/>
      <c r="AP162" s="156"/>
      <c r="AQ162" s="156"/>
      <c r="AR162" s="156"/>
      <c r="AS162" s="159"/>
      <c r="AT162" s="162"/>
      <c r="AU162" s="159"/>
      <c r="AV162" s="156"/>
      <c r="AW162" s="156"/>
      <c r="AX162" s="156"/>
      <c r="AY162" s="156"/>
      <c r="AZ162" s="156"/>
      <c r="BA162" s="156"/>
      <c r="BB162" s="159"/>
      <c r="BC162" s="161"/>
      <c r="BD162" s="162"/>
    </row>
    <row r="163" spans="36:56" hidden="1" x14ac:dyDescent="0.25">
      <c r="AJ163" s="162" t="s">
        <v>201</v>
      </c>
      <c r="AK163" s="154"/>
      <c r="AL163" s="156"/>
      <c r="AM163" s="156"/>
      <c r="AN163" s="156"/>
      <c r="AO163" s="156"/>
      <c r="AP163" s="156"/>
      <c r="AQ163" s="156"/>
      <c r="AR163" s="156"/>
      <c r="AS163" s="159"/>
      <c r="AT163" s="162"/>
      <c r="AU163" s="159"/>
      <c r="AV163" s="156"/>
      <c r="AW163" s="156"/>
      <c r="AX163" s="156"/>
      <c r="AY163" s="156"/>
      <c r="AZ163" s="156"/>
      <c r="BA163" s="156"/>
      <c r="BB163" s="159"/>
      <c r="BC163" s="161"/>
      <c r="BD163" s="162"/>
    </row>
    <row r="164" spans="36:56" hidden="1" x14ac:dyDescent="0.25">
      <c r="AJ164" s="162"/>
      <c r="AK164" s="154"/>
      <c r="AL164" s="156"/>
      <c r="AM164" s="156"/>
      <c r="AN164" s="156"/>
      <c r="AO164" s="156"/>
      <c r="AP164" s="156"/>
      <c r="AQ164" s="156"/>
      <c r="AR164" s="156"/>
      <c r="AS164" s="159"/>
      <c r="AT164" s="162"/>
      <c r="AU164" s="159"/>
      <c r="AV164" s="156"/>
      <c r="AW164" s="156"/>
      <c r="AX164" s="156"/>
      <c r="AY164" s="156"/>
      <c r="AZ164" s="156"/>
      <c r="BA164" s="156"/>
      <c r="BB164" s="159"/>
      <c r="BC164" s="161"/>
      <c r="BD164" s="162"/>
    </row>
    <row r="165" spans="36:56" hidden="1" x14ac:dyDescent="0.25">
      <c r="AJ165" s="162"/>
      <c r="AK165" s="154"/>
      <c r="AL165" s="156"/>
      <c r="AM165" s="156"/>
      <c r="AN165" s="156"/>
      <c r="AO165" s="156"/>
      <c r="AP165" s="156"/>
      <c r="AQ165" s="156"/>
      <c r="AR165" s="156"/>
      <c r="AS165" s="159"/>
      <c r="AT165" s="162"/>
      <c r="AU165" s="159"/>
      <c r="AV165" s="156"/>
      <c r="AW165" s="156"/>
      <c r="AX165" s="156"/>
      <c r="AY165" s="156"/>
      <c r="AZ165" s="156"/>
      <c r="BA165" s="156"/>
      <c r="BB165" s="159"/>
      <c r="BC165" s="161"/>
      <c r="BD165" s="162"/>
    </row>
    <row r="166" spans="36:56" hidden="1" x14ac:dyDescent="0.25">
      <c r="AJ166" s="162" t="s">
        <v>201</v>
      </c>
      <c r="AK166" s="154"/>
      <c r="AL166" s="156"/>
      <c r="AM166" s="157"/>
      <c r="AN166" s="156"/>
      <c r="AO166" s="157"/>
      <c r="AP166" s="156"/>
      <c r="AQ166" s="157"/>
      <c r="AR166" s="156"/>
      <c r="AS166" s="159"/>
      <c r="AT166" s="162"/>
      <c r="AU166" s="159"/>
      <c r="AV166" s="156"/>
      <c r="AW166" s="157"/>
      <c r="AX166" s="156"/>
      <c r="AY166" s="157"/>
      <c r="AZ166" s="156"/>
      <c r="BA166" s="157"/>
      <c r="BB166" s="159"/>
      <c r="BC166" s="161"/>
      <c r="BD166" s="162"/>
    </row>
    <row r="167" spans="36:56" hidden="1" x14ac:dyDescent="0.25">
      <c r="AJ167" s="162" t="s">
        <v>201</v>
      </c>
      <c r="AK167" s="159"/>
      <c r="AL167" s="159"/>
      <c r="AM167" s="159"/>
      <c r="AN167" s="159"/>
      <c r="AO167" s="159"/>
      <c r="AP167" s="159"/>
      <c r="AQ167" s="159"/>
      <c r="AR167" s="159"/>
      <c r="AS167" s="159"/>
      <c r="AT167" s="159"/>
      <c r="AU167" s="159"/>
      <c r="AV167" s="159"/>
      <c r="AW167" s="159"/>
      <c r="AX167" s="159"/>
      <c r="AY167" s="159"/>
      <c r="AZ167" s="159"/>
      <c r="BA167" s="159"/>
      <c r="BB167" s="159"/>
      <c r="BC167" s="161"/>
      <c r="BD167" s="162"/>
    </row>
    <row r="168" spans="36:56" hidden="1" x14ac:dyDescent="0.25">
      <c r="AJ168" s="39" t="s">
        <v>201</v>
      </c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</row>
    <row r="169" spans="36:56" x14ac:dyDescent="0.25">
      <c r="AJ169" s="97" t="s">
        <v>200</v>
      </c>
      <c r="AK169" s="97"/>
      <c r="AL169" s="97"/>
      <c r="AM169" s="97" t="s">
        <v>212</v>
      </c>
      <c r="AN169" s="97"/>
      <c r="AO169" s="97" t="s">
        <v>61</v>
      </c>
      <c r="AP169" s="97"/>
      <c r="AQ169" s="97"/>
      <c r="AR169" s="97"/>
      <c r="AS169" s="97"/>
      <c r="AT169" s="97"/>
      <c r="AU169" s="97"/>
      <c r="AV169" s="98"/>
      <c r="AW169" s="98"/>
      <c r="AX169" s="98"/>
      <c r="AY169" s="98" t="s">
        <v>61</v>
      </c>
      <c r="AZ169" s="98"/>
      <c r="BA169" s="98" t="s">
        <v>212</v>
      </c>
      <c r="BB169" s="98"/>
      <c r="BC169" s="98"/>
      <c r="BD169" s="98" t="s">
        <v>202</v>
      </c>
    </row>
    <row r="170" spans="36:56" x14ac:dyDescent="0.25">
      <c r="AJ170" s="121" t="str" cm="1">
        <f t="array" ref="AJ170:AJ171">_xlfn._xlws.FILTER(CHOOSE({1}, dataRolls!A:A), dataRolls!B:B=[0]!OFNumber)</f>
        <v>4321-1</v>
      </c>
      <c r="AK170" s="121"/>
      <c r="AL170" s="121"/>
      <c r="AM170" s="121" cm="1">
        <f t="array" ref="AM170:AM171">_xlfn._xlws.FILTER(CHOOSE({1}, dataRolls!I:I), dataRolls!B:B=[0]!OFNumber)</f>
        <v>32</v>
      </c>
      <c r="AN170" s="121"/>
      <c r="AO170" s="121" cm="1">
        <f t="array" ref="AO170:AO171">ROUND(_xlfn._xlws.FILTER(CHOOSE({1}, dataRolls!J:J), dataRolls!B:B=[0]!OFNumber),2)</f>
        <v>81.75</v>
      </c>
      <c r="AP170" s="121"/>
      <c r="AQ170" s="121" t="str" cm="1">
        <f t="array" ref="AQ170:AQ171">_xlfn._xlws.FILTER(CHOOSE({1}, dataRolls!E:E), dataRolls!B:B=[0]!OFNumber)</f>
        <v>CONFORME</v>
      </c>
      <c r="AR170" s="121"/>
      <c r="AV170" s="122"/>
      <c r="AW170" s="123" t="str" cm="1">
        <f t="array" ref="AW170">IFERROR(_xlfn._xlws.FILTER(CHOOSE({1}, dataRolls!E:E), dataRolls!D:D=productRollFabricationShift),"")</f>
        <v/>
      </c>
      <c r="AX170" s="123"/>
      <c r="AY170" s="123" t="str" cm="1">
        <f t="array" ref="AY170">IFERROR(_xlfn._xlws.FILTER(CHOOSE({1}, dataRolls!J:J), dataRolls!D:D=productRollFabricationShift),"")</f>
        <v/>
      </c>
      <c r="AZ170" s="123"/>
      <c r="BA170" s="123" t="str" cm="1">
        <f t="array" ref="BA170">IFERROR(_xlfn._xlws.FILTER(CHOOSE({1}, dataRolls!I:I), dataRolls!D:D=productRollFabricationShift),"")</f>
        <v/>
      </c>
      <c r="BB170" s="123"/>
      <c r="BC170" s="123"/>
      <c r="BD170" s="123" t="str" cm="1">
        <f t="array" ref="BD170">IFERROR(_xlfn._xlws.FILTER(CHOOSE({1}, dataRolls!A:A), dataRolls!D:D=productRollFabricationShift),"")</f>
        <v/>
      </c>
    </row>
    <row r="171" spans="36:56" x14ac:dyDescent="0.25">
      <c r="AJ171" s="121" t="str">
        <v>4321-2</v>
      </c>
      <c r="AK171" s="121"/>
      <c r="AL171" s="121"/>
      <c r="AM171" s="121">
        <v>32</v>
      </c>
      <c r="AN171" s="121"/>
      <c r="AO171" s="121">
        <v>80.38</v>
      </c>
      <c r="AP171" s="121"/>
      <c r="AQ171" s="121" t="str">
        <v>CONFORME</v>
      </c>
      <c r="AR171" s="121"/>
      <c r="AV171" s="122"/>
      <c r="AW171" s="123"/>
      <c r="AX171" s="123"/>
      <c r="AY171" s="123"/>
      <c r="AZ171" s="123"/>
      <c r="BA171" s="123"/>
      <c r="BB171" s="123"/>
      <c r="BC171" s="123"/>
      <c r="BD171" s="123"/>
    </row>
    <row r="172" spans="36:56" x14ac:dyDescent="0.25">
      <c r="AJ172" s="121"/>
      <c r="AK172" s="121"/>
      <c r="AL172" s="121"/>
      <c r="AM172" s="121"/>
      <c r="AN172" s="121"/>
      <c r="AO172" s="121"/>
      <c r="AP172" s="121"/>
      <c r="AQ172" s="121"/>
      <c r="AR172" s="121"/>
      <c r="AV172" s="122"/>
      <c r="AW172" s="123"/>
      <c r="AX172" s="123"/>
      <c r="AY172" s="123"/>
      <c r="AZ172" s="123"/>
      <c r="BA172" s="123"/>
      <c r="BB172" s="123"/>
      <c r="BC172" s="123"/>
      <c r="BD172" s="123"/>
    </row>
    <row r="173" spans="36:56" x14ac:dyDescent="0.25">
      <c r="AJ173" s="121"/>
      <c r="AK173" s="121"/>
      <c r="AL173" s="121"/>
      <c r="AM173" s="121"/>
      <c r="AN173" s="121"/>
      <c r="AO173" s="121"/>
      <c r="AP173" s="121"/>
      <c r="AQ173" s="121"/>
      <c r="AR173" s="121"/>
      <c r="AV173" s="122"/>
      <c r="AW173" s="123"/>
      <c r="AX173" s="123"/>
      <c r="AY173" s="123"/>
      <c r="AZ173" s="123"/>
      <c r="BA173" s="123"/>
      <c r="BB173" s="123"/>
      <c r="BC173" s="123"/>
      <c r="BD173" s="123"/>
    </row>
    <row r="174" spans="36:56" x14ac:dyDescent="0.25">
      <c r="AJ174" s="121"/>
      <c r="AK174" s="121"/>
      <c r="AL174" s="121"/>
      <c r="AM174" s="121"/>
      <c r="AN174" s="121"/>
      <c r="AO174" s="121"/>
      <c r="AP174" s="121"/>
      <c r="AQ174" s="121"/>
      <c r="AR174" s="121"/>
      <c r="AV174" s="122"/>
      <c r="AW174" s="123"/>
      <c r="AX174" s="123"/>
      <c r="AY174" s="123"/>
      <c r="AZ174" s="123"/>
      <c r="BA174" s="123"/>
      <c r="BB174" s="123"/>
      <c r="BC174" s="123"/>
      <c r="BD174" s="123"/>
    </row>
    <row r="175" spans="36:56" x14ac:dyDescent="0.25">
      <c r="AJ175" s="121"/>
      <c r="AK175" s="121"/>
      <c r="AL175" s="121"/>
      <c r="AM175" s="121"/>
      <c r="AN175" s="121"/>
      <c r="AO175" s="121"/>
      <c r="AP175" s="121"/>
      <c r="AQ175" s="121"/>
      <c r="AR175" s="121"/>
      <c r="AV175" s="122"/>
      <c r="AW175" s="123"/>
      <c r="AX175" s="123"/>
      <c r="AY175" s="123"/>
      <c r="AZ175" s="123"/>
      <c r="BA175" s="123"/>
      <c r="BB175" s="123"/>
      <c r="BC175" s="123"/>
      <c r="BD175" s="123"/>
    </row>
    <row r="176" spans="36:56" x14ac:dyDescent="0.25">
      <c r="AJ176" s="121"/>
      <c r="AK176" s="121"/>
      <c r="AL176" s="121"/>
      <c r="AM176" s="121"/>
      <c r="AN176" s="121"/>
      <c r="AO176" s="121"/>
      <c r="AP176" s="121"/>
      <c r="AQ176" s="121"/>
      <c r="AR176" s="121"/>
      <c r="AV176" s="122"/>
      <c r="AW176" s="123"/>
      <c r="AX176" s="123"/>
      <c r="AY176" s="123"/>
      <c r="AZ176" s="123"/>
      <c r="BA176" s="123"/>
      <c r="BB176" s="123"/>
      <c r="BC176" s="123"/>
      <c r="BD176" s="123"/>
    </row>
    <row r="177" spans="36:56" x14ac:dyDescent="0.25">
      <c r="AJ177" s="121"/>
      <c r="AK177" s="121"/>
      <c r="AL177" s="121"/>
      <c r="AM177" s="121"/>
      <c r="AN177" s="121"/>
      <c r="AO177" s="121"/>
      <c r="AP177" s="121"/>
      <c r="AQ177" s="121"/>
      <c r="AR177" s="121"/>
      <c r="AV177" s="122"/>
      <c r="AW177" s="123"/>
      <c r="AX177" s="123"/>
      <c r="AY177" s="123"/>
      <c r="AZ177" s="123"/>
      <c r="BA177" s="123"/>
      <c r="BB177" s="123"/>
      <c r="BC177" s="123"/>
      <c r="BD177" s="123"/>
    </row>
    <row r="178" spans="36:56" x14ac:dyDescent="0.25">
      <c r="AJ178" s="121"/>
      <c r="AK178" s="121"/>
      <c r="AL178" s="121"/>
      <c r="AM178" s="121"/>
      <c r="AN178" s="121"/>
      <c r="AO178" s="121"/>
      <c r="AP178" s="121"/>
      <c r="AQ178" s="121"/>
      <c r="AR178" s="121"/>
      <c r="AV178" s="122"/>
      <c r="AW178" s="123"/>
      <c r="AX178" s="123"/>
      <c r="AY178" s="123"/>
      <c r="AZ178" s="123"/>
      <c r="BA178" s="123"/>
      <c r="BB178" s="123"/>
      <c r="BC178" s="123"/>
      <c r="BD178" s="123"/>
    </row>
    <row r="179" spans="36:56" x14ac:dyDescent="0.25">
      <c r="AJ179" s="121"/>
      <c r="AK179" s="121"/>
      <c r="AL179" s="121"/>
      <c r="AM179" s="121"/>
      <c r="AN179" s="121"/>
      <c r="AO179" s="121"/>
      <c r="AP179" s="121"/>
      <c r="AQ179" s="121"/>
      <c r="AR179" s="121"/>
      <c r="AV179" s="122"/>
      <c r="AW179" s="123"/>
      <c r="AX179" s="123"/>
      <c r="AY179" s="123"/>
      <c r="AZ179" s="123"/>
      <c r="BA179" s="123"/>
      <c r="BB179" s="123"/>
      <c r="BC179" s="123"/>
      <c r="BD179" s="123"/>
    </row>
    <row r="180" spans="36:56" x14ac:dyDescent="0.25">
      <c r="AJ180" s="121"/>
      <c r="AK180" s="121"/>
      <c r="AL180" s="121"/>
      <c r="AM180" s="121"/>
      <c r="AN180" s="121"/>
      <c r="AO180" s="121"/>
      <c r="AP180" s="121"/>
      <c r="AQ180" s="121"/>
      <c r="AR180" s="121"/>
      <c r="AV180" s="122"/>
      <c r="AW180" s="123"/>
      <c r="AX180" s="123"/>
      <c r="AY180" s="123"/>
      <c r="AZ180" s="123"/>
      <c r="BA180" s="123"/>
      <c r="BB180" s="123"/>
      <c r="BC180" s="123"/>
      <c r="BD180" s="123"/>
    </row>
    <row r="181" spans="36:56" x14ac:dyDescent="0.25">
      <c r="AJ181" s="121"/>
      <c r="AK181" s="121"/>
      <c r="AL181" s="121"/>
      <c r="AM181" s="121"/>
      <c r="AN181" s="121"/>
      <c r="AO181" s="121"/>
      <c r="AP181" s="121"/>
      <c r="AQ181" s="121"/>
      <c r="AR181" s="121"/>
      <c r="AV181" s="122"/>
      <c r="AW181" s="123"/>
      <c r="AX181" s="123"/>
      <c r="AY181" s="123"/>
      <c r="AZ181" s="123"/>
      <c r="BA181" s="123"/>
      <c r="BB181" s="123"/>
      <c r="BC181" s="123"/>
      <c r="BD181" s="123"/>
    </row>
    <row r="182" spans="36:56" x14ac:dyDescent="0.25">
      <c r="AJ182" s="121"/>
      <c r="AK182" s="121"/>
      <c r="AL182" s="121"/>
      <c r="AM182" s="121"/>
      <c r="AN182" s="121"/>
      <c r="AO182" s="121"/>
      <c r="AP182" s="121"/>
      <c r="AQ182" s="121"/>
      <c r="AR182" s="121"/>
      <c r="AV182" s="122"/>
      <c r="AW182" s="123"/>
      <c r="AX182" s="123"/>
      <c r="AY182" s="123"/>
      <c r="AZ182" s="123"/>
      <c r="BA182" s="123"/>
      <c r="BB182" s="123"/>
      <c r="BC182" s="123"/>
      <c r="BD182" s="123"/>
    </row>
    <row r="183" spans="36:56" x14ac:dyDescent="0.25">
      <c r="AJ183" s="121"/>
      <c r="AK183" s="121"/>
      <c r="AL183" s="121"/>
      <c r="AM183" s="121"/>
      <c r="AN183" s="121"/>
      <c r="AO183" s="121"/>
      <c r="AP183" s="121"/>
      <c r="AQ183" s="121"/>
      <c r="AR183" s="121"/>
      <c r="AV183" s="122"/>
      <c r="AW183" s="123"/>
      <c r="AX183" s="123"/>
      <c r="AY183" s="123"/>
      <c r="AZ183" s="123"/>
      <c r="BA183" s="123"/>
      <c r="BB183" s="123"/>
      <c r="BC183" s="123"/>
      <c r="BD183" s="123"/>
    </row>
    <row r="184" spans="36:56" x14ac:dyDescent="0.25">
      <c r="AJ184" s="121"/>
      <c r="AK184" s="121"/>
      <c r="AL184" s="121"/>
      <c r="AM184" s="121"/>
      <c r="AN184" s="121"/>
      <c r="AO184" s="121"/>
      <c r="AP184" s="121"/>
      <c r="AQ184" s="121"/>
      <c r="AR184" s="121"/>
      <c r="AV184" s="122"/>
      <c r="AW184" s="123"/>
      <c r="AX184" s="123"/>
      <c r="AY184" s="123"/>
      <c r="AZ184" s="123"/>
      <c r="BA184" s="123"/>
      <c r="BB184" s="123"/>
      <c r="BC184" s="123"/>
      <c r="BD184" s="123"/>
    </row>
    <row r="185" spans="36:56" x14ac:dyDescent="0.25">
      <c r="AJ185" s="121"/>
      <c r="AK185" s="121"/>
      <c r="AL185" s="121"/>
      <c r="AM185" s="121"/>
      <c r="AN185" s="121"/>
      <c r="AO185" s="121"/>
      <c r="AP185" s="121"/>
      <c r="AQ185" s="121"/>
      <c r="AR185" s="121"/>
      <c r="AV185" s="122"/>
      <c r="AW185" s="123"/>
      <c r="AX185" s="123"/>
      <c r="AY185" s="123"/>
      <c r="AZ185" s="123"/>
      <c r="BA185" s="123"/>
      <c r="BB185" s="123"/>
      <c r="BC185" s="123"/>
      <c r="BD185" s="123"/>
    </row>
    <row r="186" spans="36:56" x14ac:dyDescent="0.25">
      <c r="AJ186" s="121"/>
      <c r="AK186" s="121"/>
      <c r="AL186" s="121"/>
      <c r="AM186" s="121"/>
      <c r="AN186" s="121"/>
      <c r="AO186" s="121"/>
      <c r="AP186" s="121"/>
      <c r="AQ186" s="121"/>
      <c r="AR186" s="121"/>
      <c r="AV186" s="122"/>
      <c r="AW186" s="123"/>
      <c r="AX186" s="123"/>
      <c r="AY186" s="123"/>
      <c r="AZ186" s="123"/>
      <c r="BA186" s="123"/>
      <c r="BB186" s="123"/>
      <c r="BC186" s="123"/>
      <c r="BD186" s="123"/>
    </row>
    <row r="187" spans="36:56" x14ac:dyDescent="0.25">
      <c r="AJ187" s="121"/>
      <c r="AK187" s="121"/>
      <c r="AL187" s="121"/>
      <c r="AM187" s="121"/>
      <c r="AN187" s="121"/>
      <c r="AO187" s="121"/>
      <c r="AP187" s="121"/>
      <c r="AQ187" s="121"/>
      <c r="AR187" s="121"/>
      <c r="AV187" s="122"/>
      <c r="AW187" s="123"/>
      <c r="AX187" s="123"/>
      <c r="AY187" s="123"/>
      <c r="AZ187" s="123"/>
      <c r="BA187" s="123"/>
      <c r="BB187" s="123"/>
      <c r="BC187" s="123"/>
      <c r="BD187" s="123"/>
    </row>
    <row r="188" spans="36:56" x14ac:dyDescent="0.25">
      <c r="AJ188" s="121"/>
      <c r="AK188" s="121"/>
      <c r="AL188" s="121"/>
      <c r="AM188" s="121"/>
      <c r="AN188" s="121"/>
      <c r="AO188" s="121"/>
      <c r="AP188" s="121"/>
      <c r="AQ188" s="121"/>
      <c r="AR188" s="121"/>
      <c r="AV188" s="122"/>
      <c r="AW188" s="123"/>
      <c r="AX188" s="123"/>
      <c r="AY188" s="123"/>
      <c r="AZ188" s="123"/>
      <c r="BA188" s="123"/>
      <c r="BB188" s="123"/>
      <c r="BC188" s="123"/>
      <c r="BD188" s="123"/>
    </row>
    <row r="189" spans="36:56" x14ac:dyDescent="0.25">
      <c r="AJ189" s="121"/>
      <c r="AK189" s="121"/>
      <c r="AL189" s="121"/>
      <c r="AM189" s="121"/>
      <c r="AN189" s="121"/>
      <c r="AO189" s="121"/>
      <c r="AP189" s="121"/>
      <c r="AQ189" s="121"/>
      <c r="AR189" s="121"/>
      <c r="AV189" s="122"/>
      <c r="AW189" s="123"/>
      <c r="AX189" s="123"/>
      <c r="AY189" s="123"/>
      <c r="AZ189" s="123"/>
      <c r="BA189" s="123"/>
      <c r="BB189" s="123"/>
      <c r="BC189" s="123"/>
      <c r="BD189" s="123"/>
    </row>
    <row r="190" spans="36:56" x14ac:dyDescent="0.25">
      <c r="AJ190" s="121"/>
      <c r="AK190" s="121"/>
      <c r="AL190" s="121"/>
      <c r="AM190" s="121"/>
      <c r="AN190" s="121"/>
      <c r="AO190" s="121"/>
      <c r="AP190" s="121"/>
      <c r="AQ190" s="121"/>
      <c r="AR190" s="121"/>
      <c r="AV190" s="122"/>
      <c r="AW190" s="123"/>
      <c r="AX190" s="123"/>
      <c r="AY190" s="123"/>
      <c r="AZ190" s="123"/>
      <c r="BA190" s="123"/>
      <c r="BB190" s="123"/>
      <c r="BC190" s="123"/>
      <c r="BD190" s="123"/>
    </row>
    <row r="191" spans="36:56" x14ac:dyDescent="0.25">
      <c r="AJ191" s="121"/>
      <c r="AK191" s="121"/>
      <c r="AL191" s="121"/>
      <c r="AM191" s="121"/>
      <c r="AN191" s="121"/>
      <c r="AO191" s="121"/>
      <c r="AP191" s="121"/>
      <c r="AQ191" s="121"/>
      <c r="AR191" s="121"/>
      <c r="AV191" s="122"/>
      <c r="AW191" s="123"/>
      <c r="AX191" s="123"/>
      <c r="AY191" s="123"/>
      <c r="AZ191" s="123"/>
      <c r="BA191" s="123"/>
      <c r="BB191" s="123"/>
      <c r="BC191" s="123"/>
      <c r="BD191" s="123"/>
    </row>
    <row r="192" spans="36:56" x14ac:dyDescent="0.25">
      <c r="AJ192" s="121"/>
      <c r="AK192" s="121"/>
      <c r="AL192" s="121"/>
      <c r="AM192" s="121"/>
      <c r="AN192" s="121"/>
      <c r="AO192" s="121"/>
      <c r="AP192" s="121"/>
      <c r="AQ192" s="121"/>
      <c r="AR192" s="121"/>
      <c r="AV192" s="122"/>
      <c r="AW192" s="123"/>
      <c r="AX192" s="123"/>
      <c r="AY192" s="123"/>
      <c r="AZ192" s="123"/>
      <c r="BA192" s="123"/>
      <c r="BB192" s="123"/>
      <c r="BC192" s="123"/>
      <c r="BD192" s="123"/>
    </row>
    <row r="193" spans="36:56" x14ac:dyDescent="0.25">
      <c r="AJ193" s="121"/>
      <c r="AK193" s="121"/>
      <c r="AL193" s="121"/>
      <c r="AM193" s="121"/>
      <c r="AN193" s="121"/>
      <c r="AO193" s="121"/>
      <c r="AP193" s="121"/>
      <c r="AQ193" s="121"/>
      <c r="AR193" s="121"/>
      <c r="AV193" s="122"/>
      <c r="AW193" s="123"/>
      <c r="AX193" s="123"/>
      <c r="AY193" s="123"/>
      <c r="AZ193" s="123"/>
      <c r="BA193" s="123"/>
      <c r="BB193" s="123"/>
      <c r="BC193" s="123"/>
      <c r="BD193" s="123"/>
    </row>
    <row r="194" spans="36:56" x14ac:dyDescent="0.25">
      <c r="AJ194" s="121"/>
      <c r="AK194" s="121"/>
      <c r="AL194" s="121"/>
      <c r="AM194" s="121"/>
      <c r="AN194" s="121"/>
      <c r="AO194" s="121"/>
      <c r="AP194" s="121"/>
      <c r="AQ194" s="121"/>
      <c r="AR194" s="121"/>
      <c r="AV194" s="122"/>
      <c r="AW194" s="123"/>
      <c r="AX194" s="123"/>
      <c r="AY194" s="123"/>
      <c r="AZ194" s="123"/>
      <c r="BA194" s="123"/>
      <c r="BB194" s="123"/>
      <c r="BC194" s="123"/>
      <c r="BD194" s="123"/>
    </row>
    <row r="195" spans="36:56" x14ac:dyDescent="0.25">
      <c r="AJ195" s="121"/>
      <c r="AK195" s="121"/>
      <c r="AL195" s="121"/>
      <c r="AM195" s="121"/>
      <c r="AN195" s="121"/>
      <c r="AO195" s="121"/>
      <c r="AP195" s="121"/>
      <c r="AQ195" s="121"/>
      <c r="AR195" s="121"/>
      <c r="AV195" s="122"/>
      <c r="AW195" s="123"/>
      <c r="AX195" s="123"/>
      <c r="AY195" s="123"/>
      <c r="AZ195" s="123"/>
      <c r="BA195" s="123"/>
      <c r="BB195" s="123"/>
      <c r="BC195" s="123"/>
      <c r="BD195" s="123"/>
    </row>
    <row r="196" spans="36:56" x14ac:dyDescent="0.25">
      <c r="AJ196" s="121"/>
      <c r="AK196" s="121"/>
      <c r="AL196" s="121"/>
      <c r="AM196" s="121"/>
      <c r="AN196" s="121"/>
      <c r="AO196" s="121"/>
      <c r="AP196" s="121"/>
      <c r="AQ196" s="121"/>
      <c r="AR196" s="121"/>
      <c r="AV196" s="122"/>
      <c r="AW196" s="123"/>
      <c r="AX196" s="123"/>
      <c r="AY196" s="123"/>
      <c r="AZ196" s="123"/>
      <c r="BA196" s="123"/>
      <c r="BB196" s="123"/>
      <c r="BC196" s="123"/>
      <c r="BD196" s="123"/>
    </row>
    <row r="197" spans="36:56" x14ac:dyDescent="0.25">
      <c r="AJ197" s="121"/>
      <c r="AK197" s="121"/>
      <c r="AL197" s="121"/>
      <c r="AM197" s="121"/>
      <c r="AN197" s="121"/>
      <c r="AO197" s="121"/>
      <c r="AP197" s="121"/>
      <c r="AQ197" s="121"/>
      <c r="AR197" s="121"/>
      <c r="AV197" s="122"/>
      <c r="AW197" s="123"/>
      <c r="AX197" s="123"/>
      <c r="AY197" s="123"/>
      <c r="AZ197" s="123"/>
      <c r="BA197" s="123"/>
      <c r="BB197" s="123"/>
      <c r="BC197" s="123"/>
      <c r="BD197" s="123"/>
    </row>
    <row r="198" spans="36:56" x14ac:dyDescent="0.25">
      <c r="AJ198" s="121"/>
      <c r="AK198" s="121"/>
      <c r="AL198" s="121"/>
      <c r="AM198" s="121"/>
      <c r="AN198" s="121"/>
      <c r="AO198" s="121"/>
      <c r="AP198" s="121"/>
      <c r="AQ198" s="121"/>
      <c r="AR198" s="121"/>
      <c r="AV198" s="122"/>
      <c r="AW198" s="123"/>
      <c r="AX198" s="123"/>
      <c r="AY198" s="123"/>
      <c r="AZ198" s="123"/>
      <c r="BA198" s="123"/>
      <c r="BB198" s="123"/>
      <c r="BC198" s="123"/>
      <c r="BD198" s="123"/>
    </row>
    <row r="199" spans="36:56" x14ac:dyDescent="0.25">
      <c r="AJ199" s="121"/>
      <c r="AK199" s="121"/>
      <c r="AL199" s="121"/>
      <c r="AM199" s="121"/>
      <c r="AN199" s="121"/>
      <c r="AO199" s="121"/>
      <c r="AP199" s="121"/>
      <c r="AQ199" s="121"/>
      <c r="AR199" s="121"/>
      <c r="AV199" s="122"/>
      <c r="AW199" s="123"/>
      <c r="AX199" s="123"/>
      <c r="AY199" s="123"/>
      <c r="AZ199" s="123"/>
      <c r="BA199" s="123"/>
      <c r="BB199" s="123"/>
      <c r="BC199" s="123"/>
      <c r="BD199" s="123"/>
    </row>
    <row r="200" spans="36:56" x14ac:dyDescent="0.25">
      <c r="AJ200" s="121"/>
      <c r="AK200" s="121"/>
      <c r="AL200" s="121"/>
      <c r="AM200" s="121"/>
      <c r="AN200" s="121"/>
      <c r="AO200" s="121"/>
      <c r="AP200" s="121"/>
      <c r="AQ200" s="121"/>
      <c r="AR200" s="121"/>
      <c r="AV200" s="122"/>
      <c r="AW200" s="123"/>
      <c r="AX200" s="123"/>
      <c r="AY200" s="123"/>
      <c r="AZ200" s="123"/>
      <c r="BA200" s="123"/>
      <c r="BB200" s="123"/>
      <c r="BC200" s="123"/>
      <c r="BD200" s="123"/>
    </row>
    <row r="201" spans="36:56" x14ac:dyDescent="0.25">
      <c r="AJ201" s="121"/>
      <c r="AK201" s="121"/>
      <c r="AL201" s="121"/>
      <c r="AM201" s="121"/>
      <c r="AN201" s="121"/>
      <c r="AO201" s="121"/>
      <c r="AP201" s="121"/>
      <c r="AQ201" s="121"/>
      <c r="AR201" s="121"/>
      <c r="AV201" s="122"/>
      <c r="AW201" s="122"/>
      <c r="AX201" s="122"/>
      <c r="AY201" s="122"/>
      <c r="AZ201" s="122"/>
      <c r="BA201" s="122"/>
      <c r="BB201" s="122"/>
      <c r="BC201" s="122"/>
      <c r="BD201" s="122"/>
    </row>
    <row r="202" spans="36:56" x14ac:dyDescent="0.25">
      <c r="AJ202" s="121"/>
      <c r="AK202" s="121"/>
      <c r="AL202" s="121"/>
      <c r="AM202" s="121"/>
      <c r="AN202" s="121"/>
      <c r="AO202" s="121"/>
      <c r="AP202" s="121"/>
      <c r="AQ202" s="121"/>
      <c r="AR202" s="121"/>
      <c r="AV202" s="122"/>
      <c r="AW202" s="122"/>
      <c r="AX202" s="122"/>
      <c r="AY202" s="122"/>
      <c r="AZ202" s="122"/>
      <c r="BA202" s="122"/>
      <c r="BB202" s="122"/>
      <c r="BC202" s="122"/>
      <c r="BD202" s="122"/>
    </row>
    <row r="203" spans="36:56" x14ac:dyDescent="0.25">
      <c r="AJ203" s="121"/>
      <c r="AK203" s="121"/>
      <c r="AL203" s="121"/>
      <c r="AM203" s="121"/>
      <c r="AN203" s="121"/>
      <c r="AO203" s="121"/>
      <c r="AP203" s="121"/>
      <c r="AQ203" s="121"/>
      <c r="AR203" s="121"/>
      <c r="AV203" s="122"/>
      <c r="AW203" s="122"/>
      <c r="AX203" s="122"/>
      <c r="AY203" s="122"/>
      <c r="AZ203" s="122"/>
      <c r="BA203" s="122"/>
      <c r="BB203" s="122"/>
      <c r="BC203" s="122"/>
      <c r="BD203" s="122"/>
    </row>
    <row r="204" spans="36:56" x14ac:dyDescent="0.25">
      <c r="AJ204" s="121"/>
      <c r="AK204" s="121"/>
      <c r="AL204" s="121"/>
      <c r="AM204" s="121"/>
      <c r="AN204" s="121"/>
      <c r="AO204" s="121"/>
      <c r="AP204" s="121"/>
      <c r="AQ204" s="121"/>
      <c r="AR204" s="121"/>
      <c r="AV204" s="122"/>
      <c r="AW204" s="122"/>
      <c r="AX204" s="122"/>
      <c r="AY204" s="122"/>
      <c r="AZ204" s="122"/>
      <c r="BA204" s="122"/>
      <c r="BB204" s="122"/>
      <c r="BC204" s="122"/>
      <c r="BD204" s="122"/>
    </row>
    <row r="205" spans="36:56" x14ac:dyDescent="0.25">
      <c r="AJ205" s="121"/>
      <c r="AK205" s="121"/>
      <c r="AL205" s="121"/>
      <c r="AM205" s="121"/>
      <c r="AN205" s="121"/>
      <c r="AO205" s="121"/>
      <c r="AP205" s="121"/>
      <c r="AQ205" s="121"/>
      <c r="AR205" s="121"/>
      <c r="AV205" s="122"/>
      <c r="AW205" s="122"/>
      <c r="AX205" s="122"/>
      <c r="AY205" s="122"/>
      <c r="AZ205" s="122"/>
      <c r="BA205" s="122"/>
      <c r="BB205" s="122"/>
      <c r="BC205" s="122"/>
      <c r="BD205" s="122"/>
    </row>
    <row r="206" spans="36:56" x14ac:dyDescent="0.25">
      <c r="AJ206" s="121"/>
      <c r="AK206" s="121"/>
      <c r="AL206" s="121"/>
      <c r="AM206" s="121"/>
      <c r="AN206" s="121"/>
      <c r="AO206" s="121"/>
      <c r="AP206" s="121"/>
      <c r="AQ206" s="121"/>
      <c r="AR206" s="121"/>
      <c r="AV206" s="122"/>
      <c r="AW206" s="122"/>
      <c r="AX206" s="122"/>
      <c r="AY206" s="122"/>
      <c r="AZ206" s="122"/>
      <c r="BA206" s="122"/>
      <c r="BB206" s="122"/>
      <c r="BC206" s="122"/>
      <c r="BD206" s="122"/>
    </row>
    <row r="207" spans="36:56" x14ac:dyDescent="0.25">
      <c r="AJ207" s="121"/>
      <c r="AK207" s="121"/>
      <c r="AL207" s="121"/>
      <c r="AM207" s="121"/>
      <c r="AN207" s="121"/>
      <c r="AO207" s="121"/>
      <c r="AP207" s="121"/>
      <c r="AQ207" s="121"/>
      <c r="AR207" s="121"/>
      <c r="AV207" s="122"/>
      <c r="AW207" s="122"/>
      <c r="AX207" s="122"/>
      <c r="AY207" s="122"/>
      <c r="AZ207" s="122"/>
      <c r="BA207" s="122"/>
      <c r="BB207" s="122"/>
      <c r="BC207" s="122"/>
      <c r="BD207" s="122"/>
    </row>
    <row r="208" spans="36:56" x14ac:dyDescent="0.25">
      <c r="AJ208" s="121"/>
      <c r="AK208" s="121"/>
      <c r="AL208" s="121"/>
      <c r="AM208" s="121"/>
      <c r="AN208" s="121"/>
      <c r="AO208" s="121"/>
      <c r="AP208" s="121"/>
      <c r="AQ208" s="121"/>
      <c r="AR208" s="121"/>
      <c r="AV208" s="122"/>
      <c r="AW208" s="122"/>
      <c r="AX208" s="122"/>
      <c r="AY208" s="122"/>
      <c r="AZ208" s="122"/>
      <c r="BA208" s="122"/>
      <c r="BB208" s="122"/>
      <c r="BC208" s="122"/>
      <c r="BD208" s="122"/>
    </row>
    <row r="209" spans="36:56" x14ac:dyDescent="0.25">
      <c r="AJ209" s="121"/>
      <c r="AK209" s="121"/>
      <c r="AL209" s="121"/>
      <c r="AM209" s="121"/>
      <c r="AN209" s="121"/>
      <c r="AO209" s="121"/>
      <c r="AP209" s="121"/>
      <c r="AQ209" s="121"/>
      <c r="AR209" s="121"/>
      <c r="AV209" s="122"/>
      <c r="AW209" s="122"/>
      <c r="AX209" s="122"/>
      <c r="AY209" s="122"/>
      <c r="AZ209" s="122"/>
      <c r="BA209" s="122"/>
      <c r="BB209" s="122"/>
      <c r="BC209" s="122"/>
      <c r="BD209" s="122"/>
    </row>
    <row r="210" spans="36:56" x14ac:dyDescent="0.25">
      <c r="AJ210" s="121"/>
      <c r="AK210" s="121"/>
      <c r="AL210" s="121"/>
      <c r="AM210" s="121"/>
      <c r="AN210" s="121"/>
      <c r="AO210" s="121"/>
      <c r="AP210" s="121"/>
      <c r="AQ210" s="121"/>
      <c r="AR210" s="121"/>
      <c r="AV210" s="122"/>
      <c r="AW210" s="122"/>
      <c r="AX210" s="122"/>
      <c r="AY210" s="122"/>
      <c r="AZ210" s="122"/>
      <c r="BA210" s="122"/>
      <c r="BB210" s="122"/>
      <c r="BC210" s="122"/>
      <c r="BD210" s="122"/>
    </row>
    <row r="211" spans="36:56" x14ac:dyDescent="0.25">
      <c r="AJ211" s="121"/>
      <c r="AK211" s="121"/>
      <c r="AL211" s="121"/>
      <c r="AM211" s="121"/>
      <c r="AN211" s="121"/>
      <c r="AO211" s="121"/>
      <c r="AP211" s="121"/>
      <c r="AQ211" s="121"/>
      <c r="AR211" s="121"/>
      <c r="AV211" s="122"/>
      <c r="AW211" s="122"/>
      <c r="AX211" s="122"/>
      <c r="AY211" s="122"/>
      <c r="AZ211" s="122"/>
      <c r="BA211" s="122"/>
      <c r="BB211" s="122"/>
      <c r="BC211" s="122"/>
      <c r="BD211" s="122"/>
    </row>
    <row r="212" spans="36:56" x14ac:dyDescent="0.25">
      <c r="AJ212" s="121"/>
      <c r="AK212" s="121"/>
      <c r="AL212" s="121"/>
      <c r="AM212" s="121"/>
      <c r="AN212" s="121"/>
      <c r="AO212" s="121"/>
      <c r="AP212" s="121"/>
      <c r="AQ212" s="121"/>
      <c r="AR212" s="121"/>
      <c r="AV212" s="122"/>
      <c r="AW212" s="122"/>
      <c r="AX212" s="122"/>
      <c r="AY212" s="122"/>
      <c r="AZ212" s="122"/>
      <c r="BA212" s="122"/>
      <c r="BB212" s="122"/>
      <c r="BC212" s="122"/>
      <c r="BD212" s="122"/>
    </row>
    <row r="213" spans="36:56" x14ac:dyDescent="0.25">
      <c r="AJ213" s="121"/>
      <c r="AK213" s="121"/>
      <c r="AL213" s="121"/>
      <c r="AM213" s="121"/>
      <c r="AN213" s="121"/>
      <c r="AO213" s="121"/>
      <c r="AP213" s="121"/>
      <c r="AQ213" s="121"/>
      <c r="AR213" s="121"/>
      <c r="AV213" s="122"/>
      <c r="AW213" s="122"/>
      <c r="AX213" s="122"/>
      <c r="AY213" s="122"/>
      <c r="AZ213" s="122"/>
      <c r="BA213" s="122"/>
      <c r="BB213" s="122"/>
      <c r="BC213" s="122"/>
      <c r="BD213" s="122"/>
    </row>
    <row r="214" spans="36:56" x14ac:dyDescent="0.25">
      <c r="AJ214" s="46"/>
      <c r="AK214" s="46"/>
      <c r="AL214" s="46"/>
      <c r="AM214" s="46"/>
      <c r="AN214" s="46"/>
      <c r="AO214" s="46"/>
      <c r="AP214" s="46"/>
      <c r="AQ214" s="46"/>
      <c r="AR214" s="46"/>
    </row>
    <row r="7071" spans="39:39" x14ac:dyDescent="0.25">
      <c r="AM7071" s="40"/>
    </row>
  </sheetData>
  <sheetProtection sheet="1" objects="1" scenarios="1" selectLockedCells="1"/>
  <mergeCells count="40">
    <mergeCell ref="AR52:AV52"/>
    <mergeCell ref="AF46:AG49"/>
    <mergeCell ref="AM49:AW49"/>
    <mergeCell ref="AL46:AP46"/>
    <mergeCell ref="AL48:AP48"/>
    <mergeCell ref="BB47:BC47"/>
    <mergeCell ref="BB49:BC49"/>
    <mergeCell ref="BB46:BC46"/>
    <mergeCell ref="BB48:BC48"/>
    <mergeCell ref="AQ46:AW46"/>
    <mergeCell ref="AQ48:AW48"/>
    <mergeCell ref="AM47:AO47"/>
    <mergeCell ref="AQ47:AW47"/>
    <mergeCell ref="BO53:BP53"/>
    <mergeCell ref="BO57:BP57"/>
    <mergeCell ref="AC67:AG67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R60:AV60"/>
    <mergeCell ref="AD80:AF8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8:AG68"/>
    <mergeCell ref="AC69:AG69"/>
    <mergeCell ref="AC66:AG66"/>
    <mergeCell ref="AD78:AF78"/>
    <mergeCell ref="AD79:AF79"/>
  </mergeCells>
  <conditionalFormatting sqref="BJ78:BK79">
    <cfRule type="containsText" dxfId="14" priority="31" operator="containsText" text="NON CONFORME">
      <formula>NOT(ISERROR(SEARCH("NON CONFORME",BJ78)))</formula>
    </cfRule>
    <cfRule type="containsText" dxfId="13" priority="32" operator="containsText" text="CONFORME">
      <formula>NOT(ISERROR(SEARCH("CONFORME",BJ78)))</formula>
    </cfRule>
  </conditionalFormatting>
  <conditionalFormatting sqref="AC61:AD61 AC64:AD64">
    <cfRule type="containsText" dxfId="12" priority="29" operator="containsText" text="Démarrée">
      <formula>NOT(ISERROR(SEARCH("Démarrée",AC61)))</formula>
    </cfRule>
    <cfRule type="containsText" dxfId="11" priority="30" operator="containsText" text="A l'Arrêt">
      <formula>NOT(ISERROR(SEARCH("A l'Arrêt",AC61)))</formula>
    </cfRule>
  </conditionalFormatting>
  <conditionalFormatting sqref="AO55:AO57 AY55:AY57">
    <cfRule type="cellIs" dxfId="10" priority="26" operator="notBetween">
      <formula>$BH$61</formula>
      <formula>$BK$61</formula>
    </cfRule>
    <cfRule type="cellIs" dxfId="9" priority="33" operator="between">
      <formula>$BH$61</formula>
      <formula>$BK$61</formula>
    </cfRule>
  </conditionalFormatting>
  <conditionalFormatting sqref="AT55">
    <cfRule type="cellIs" dxfId="8" priority="17" operator="between">
      <formula>$BH$62</formula>
      <formula>$BK$62</formula>
    </cfRule>
    <cfRule type="cellIs" dxfId="7" priority="28" operator="notBetween">
      <formula>$BH$62</formula>
      <formula>$BK$62</formula>
    </cfRule>
  </conditionalFormatting>
  <conditionalFormatting sqref="AM63 AQ63 AW63 BA63">
    <cfRule type="cellIs" dxfId="6" priority="18" operator="notBetween">
      <formula>$BH$64</formula>
      <formula>$BK$64</formula>
    </cfRule>
    <cfRule type="cellIs" dxfId="5" priority="27" operator="between">
      <formula>$BH$64</formula>
      <formula>$BK$64</formula>
    </cfRule>
  </conditionalFormatting>
  <conditionalFormatting sqref="AO58 AY58">
    <cfRule type="cellIs" dxfId="4" priority="25" operator="notBetween">
      <formula>$BH$61</formula>
      <formula>$BK$61</formula>
    </cfRule>
  </conditionalFormatting>
  <conditionalFormatting sqref="AR60">
    <cfRule type="containsText" dxfId="3" priority="23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2" priority="19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161925</xdr:colOff>
                    <xdr:row>73</xdr:row>
                    <xdr:rowOff>38100</xdr:rowOff>
                  </from>
                  <to>
                    <xdr:col>67</xdr:col>
                    <xdr:colOff>285750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65</xdr:col>
                    <xdr:colOff>161925</xdr:colOff>
                    <xdr:row>75</xdr:row>
                    <xdr:rowOff>171450</xdr:rowOff>
                  </from>
                  <to>
                    <xdr:col>67</xdr:col>
                    <xdr:colOff>295275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161925</xdr:colOff>
                    <xdr:row>70</xdr:row>
                    <xdr:rowOff>133350</xdr:rowOff>
                  </from>
                  <to>
                    <xdr:col>67</xdr:col>
                    <xdr:colOff>285750</xdr:colOff>
                    <xdr:row>73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M18" sqref="M18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45</v>
      </c>
      <c r="B1" t="s">
        <v>54</v>
      </c>
      <c r="C1" t="s">
        <v>58</v>
      </c>
      <c r="E1" s="72" t="s">
        <v>220</v>
      </c>
      <c r="F1" s="72"/>
      <c r="J1" t="s">
        <v>180</v>
      </c>
      <c r="N1">
        <v>0</v>
      </c>
      <c r="P1" s="126"/>
      <c r="Q1" s="124"/>
    </row>
    <row r="2" spans="1:17" x14ac:dyDescent="0.25">
      <c r="A2" t="s">
        <v>52</v>
      </c>
      <c r="B2" t="s">
        <v>15</v>
      </c>
      <c r="C2" s="52">
        <v>0.33333333333333331</v>
      </c>
      <c r="E2" s="153" t="s">
        <v>60</v>
      </c>
      <c r="F2" s="153"/>
      <c r="J2" t="s">
        <v>181</v>
      </c>
      <c r="N2">
        <v>180</v>
      </c>
      <c r="P2" s="125"/>
      <c r="Q2" s="125"/>
    </row>
    <row r="3" spans="1:17" x14ac:dyDescent="0.25">
      <c r="A3" t="s">
        <v>51</v>
      </c>
      <c r="B3" t="s">
        <v>55</v>
      </c>
      <c r="J3" t="s">
        <v>188</v>
      </c>
      <c r="N3" s="127"/>
      <c r="O3">
        <v>0.32</v>
      </c>
      <c r="P3" s="125"/>
      <c r="Q3" s="125"/>
    </row>
    <row r="4" spans="1:17" x14ac:dyDescent="0.25">
      <c r="A4" t="s">
        <v>48</v>
      </c>
      <c r="B4" t="s">
        <v>56</v>
      </c>
      <c r="C4" s="52">
        <v>2.0833333333333332E-2</v>
      </c>
      <c r="P4" s="125"/>
      <c r="Q4" s="125"/>
    </row>
    <row r="5" spans="1:17" x14ac:dyDescent="0.25">
      <c r="A5" t="s">
        <v>49</v>
      </c>
      <c r="C5" s="52">
        <v>4.1666666666666664E-2</v>
      </c>
      <c r="J5" t="s">
        <v>182</v>
      </c>
      <c r="P5" s="125"/>
      <c r="Q5" s="125"/>
    </row>
    <row r="6" spans="1:17" x14ac:dyDescent="0.25">
      <c r="A6" t="s">
        <v>47</v>
      </c>
      <c r="B6" t="s">
        <v>57</v>
      </c>
      <c r="C6" s="52">
        <v>6.25E-2</v>
      </c>
    </row>
    <row r="7" spans="1:17" x14ac:dyDescent="0.25">
      <c r="A7" t="s">
        <v>59</v>
      </c>
      <c r="C7" s="52">
        <v>8.3333333333333329E-2</v>
      </c>
    </row>
    <row r="8" spans="1:17" x14ac:dyDescent="0.25">
      <c r="A8" t="s">
        <v>50</v>
      </c>
      <c r="C8" s="52">
        <v>0.10416666666666667</v>
      </c>
    </row>
    <row r="9" spans="1:17" x14ac:dyDescent="0.25">
      <c r="A9" t="s">
        <v>46</v>
      </c>
      <c r="C9" s="52">
        <v>0.125</v>
      </c>
    </row>
    <row r="10" spans="1:17" x14ac:dyDescent="0.25">
      <c r="C10" s="52">
        <v>0.14583333333333301</v>
      </c>
    </row>
    <row r="11" spans="1:17" x14ac:dyDescent="0.25">
      <c r="A11" t="s">
        <v>53</v>
      </c>
      <c r="C11" s="52">
        <v>0.16666666666666599</v>
      </c>
    </row>
    <row r="12" spans="1:17" x14ac:dyDescent="0.25">
      <c r="C12" s="52">
        <v>0.1875</v>
      </c>
    </row>
    <row r="13" spans="1:17" x14ac:dyDescent="0.25">
      <c r="C13" s="52">
        <v>0.20833333333333301</v>
      </c>
    </row>
    <row r="14" spans="1:17" x14ac:dyDescent="0.25">
      <c r="C14" s="52">
        <v>0.22916666666666599</v>
      </c>
    </row>
    <row r="15" spans="1:17" x14ac:dyDescent="0.25">
      <c r="C15" s="52">
        <v>0.25</v>
      </c>
    </row>
    <row r="16" spans="1:17" x14ac:dyDescent="0.25">
      <c r="C16" s="52">
        <v>0.27083333333333298</v>
      </c>
    </row>
    <row r="17" spans="3:3" x14ac:dyDescent="0.25">
      <c r="C17" s="52">
        <v>0.29166666666666602</v>
      </c>
    </row>
    <row r="18" spans="3:3" x14ac:dyDescent="0.25">
      <c r="C18" s="52">
        <v>0.3125</v>
      </c>
    </row>
    <row r="19" spans="3:3" ht="15" customHeight="1" x14ac:dyDescent="0.25">
      <c r="C19" s="52">
        <v>0.35416666666666602</v>
      </c>
    </row>
    <row r="20" spans="3:3" ht="15" customHeight="1" x14ac:dyDescent="0.25">
      <c r="C20" s="52">
        <v>0.375</v>
      </c>
    </row>
    <row r="21" spans="3:3" ht="15" customHeight="1" x14ac:dyDescent="0.25">
      <c r="C21" s="52">
        <v>0.39583333333333298</v>
      </c>
    </row>
    <row r="22" spans="3:3" x14ac:dyDescent="0.25">
      <c r="C22" s="52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I18" sqref="I18"/>
    </sheetView>
  </sheetViews>
  <sheetFormatPr baseColWidth="10" defaultRowHeight="15" x14ac:dyDescent="0.25"/>
  <cols>
    <col min="1" max="1" width="27.7109375" style="51" bestFit="1" customWidth="1"/>
    <col min="2" max="2" width="10.42578125" style="51" bestFit="1" customWidth="1"/>
    <col min="3" max="3" width="15" style="51" bestFit="1" customWidth="1"/>
    <col min="4" max="4" width="9.85546875" style="51" bestFit="1" customWidth="1"/>
    <col min="5" max="5" width="6.140625" style="51" bestFit="1" customWidth="1"/>
    <col min="6" max="6" width="18" style="51" bestFit="1" customWidth="1"/>
    <col min="7" max="7" width="20" style="51" bestFit="1" customWidth="1"/>
    <col min="8" max="8" width="16.28515625" style="51" bestFit="1" customWidth="1"/>
    <col min="9" max="9" width="18.28515625" style="51" bestFit="1" customWidth="1"/>
    <col min="10" max="10" width="13.85546875" style="51" bestFit="1" customWidth="1"/>
    <col min="11" max="11" width="15.42578125" style="51" bestFit="1" customWidth="1"/>
    <col min="12" max="13" width="16.28515625" style="51" bestFit="1" customWidth="1"/>
    <col min="14" max="19" width="9.28515625" style="51" bestFit="1" customWidth="1"/>
    <col min="20" max="20" width="21.85546875" style="51" bestFit="1" customWidth="1"/>
    <col min="21" max="22" width="21.7109375" style="51" bestFit="1" customWidth="1"/>
    <col min="23" max="23" width="21.85546875" style="51" bestFit="1" customWidth="1"/>
    <col min="24" max="24" width="7.85546875" style="51" bestFit="1" customWidth="1"/>
    <col min="25" max="25" width="6.42578125" style="51" bestFit="1" customWidth="1"/>
    <col min="26" max="26" width="15" style="51" bestFit="1" customWidth="1"/>
    <col min="27" max="46" width="11.42578125" style="51"/>
    <col min="47" max="47" width="2" style="51" bestFit="1" customWidth="1"/>
    <col min="48" max="16384" width="11.42578125" style="51"/>
  </cols>
  <sheetData>
    <row r="1" spans="1:26" s="62" customFormat="1" x14ac:dyDescent="0.25">
      <c r="A1" s="62" t="s">
        <v>91</v>
      </c>
      <c r="B1" s="62" t="s">
        <v>130</v>
      </c>
      <c r="C1" s="62" t="s">
        <v>131</v>
      </c>
      <c r="D1" s="62" t="s">
        <v>132</v>
      </c>
      <c r="E1" s="62" t="s">
        <v>133</v>
      </c>
      <c r="F1" s="62" t="s">
        <v>134</v>
      </c>
      <c r="G1" s="62" t="s">
        <v>135</v>
      </c>
      <c r="H1" s="62" t="s">
        <v>136</v>
      </c>
      <c r="I1" s="62" t="s">
        <v>137</v>
      </c>
      <c r="J1" s="62" t="s">
        <v>70</v>
      </c>
      <c r="K1" s="62" t="s">
        <v>138</v>
      </c>
      <c r="L1" s="62" t="s">
        <v>139</v>
      </c>
      <c r="M1" s="62" t="s">
        <v>140</v>
      </c>
      <c r="N1" s="62" t="s">
        <v>141</v>
      </c>
      <c r="O1" s="62" t="s">
        <v>142</v>
      </c>
      <c r="P1" s="62" t="s">
        <v>143</v>
      </c>
      <c r="Q1" s="62" t="s">
        <v>144</v>
      </c>
      <c r="R1" s="62" t="s">
        <v>145</v>
      </c>
      <c r="S1" s="62" t="s">
        <v>146</v>
      </c>
      <c r="T1" s="62" t="s">
        <v>147</v>
      </c>
      <c r="U1" s="62" t="s">
        <v>148</v>
      </c>
      <c r="V1" s="62" t="s">
        <v>149</v>
      </c>
      <c r="W1" s="62" t="s">
        <v>150</v>
      </c>
      <c r="X1" s="62" t="s">
        <v>151</v>
      </c>
      <c r="Y1" s="62" t="s">
        <v>152</v>
      </c>
      <c r="Z1" s="62" t="s">
        <v>153</v>
      </c>
    </row>
    <row r="2" spans="1:26" x14ac:dyDescent="0.25">
      <c r="A2" s="51" t="s">
        <v>156</v>
      </c>
      <c r="B2" s="81">
        <v>44439</v>
      </c>
      <c r="C2" s="51" t="s">
        <v>48</v>
      </c>
      <c r="D2" s="51" t="s">
        <v>15</v>
      </c>
      <c r="E2" s="51">
        <v>480</v>
      </c>
      <c r="F2" s="51" t="s">
        <v>39</v>
      </c>
      <c r="H2" s="51" t="s">
        <v>39</v>
      </c>
      <c r="K2" s="60">
        <v>45817.548078703701</v>
      </c>
      <c r="L2" s="51">
        <v>34.71</v>
      </c>
      <c r="M2" s="51">
        <v>33.549999999999997</v>
      </c>
      <c r="N2" s="51">
        <v>34.340000000000003</v>
      </c>
      <c r="O2" s="51">
        <v>34.94</v>
      </c>
      <c r="P2" s="51">
        <v>34.85</v>
      </c>
      <c r="Q2" s="51">
        <v>34.19</v>
      </c>
      <c r="R2" s="51">
        <v>32.93</v>
      </c>
      <c r="S2" s="51">
        <v>33.54</v>
      </c>
      <c r="T2" s="51">
        <v>1.0800000000000001E-2</v>
      </c>
      <c r="U2" s="51">
        <v>1.06E-2</v>
      </c>
      <c r="V2" s="51">
        <v>9.4999999999999998E-3</v>
      </c>
      <c r="W2" s="51">
        <v>1.17E-2</v>
      </c>
      <c r="X2" s="51">
        <v>0.25</v>
      </c>
      <c r="Y2" s="51" t="s">
        <v>65</v>
      </c>
      <c r="Z2" s="51" t="s">
        <v>158</v>
      </c>
    </row>
    <row r="3" spans="1:26" x14ac:dyDescent="0.25">
      <c r="A3" s="51" t="s">
        <v>183</v>
      </c>
      <c r="B3" s="81">
        <v>45817</v>
      </c>
      <c r="C3" s="51" t="s">
        <v>46</v>
      </c>
      <c r="D3" s="51" t="s">
        <v>15</v>
      </c>
      <c r="E3" s="51">
        <v>480</v>
      </c>
      <c r="F3" s="51" t="s">
        <v>71</v>
      </c>
      <c r="G3" s="51">
        <v>5</v>
      </c>
      <c r="H3" s="51" t="s">
        <v>39</v>
      </c>
      <c r="K3" s="60">
        <v>45817.65216435185</v>
      </c>
      <c r="L3" s="51">
        <v>35.89</v>
      </c>
      <c r="M3" s="51">
        <v>33.130000000000003</v>
      </c>
      <c r="N3" s="51">
        <v>37.11</v>
      </c>
      <c r="O3" s="51">
        <v>36.770000000000003</v>
      </c>
      <c r="P3" s="51">
        <v>33.799999999999997</v>
      </c>
      <c r="Q3" s="51">
        <v>33.909999999999997</v>
      </c>
      <c r="R3" s="51">
        <v>33.049999999999997</v>
      </c>
      <c r="S3" s="51">
        <v>32.44</v>
      </c>
      <c r="T3" s="51">
        <v>1.04E-2</v>
      </c>
      <c r="U3" s="51">
        <v>1.03E-2</v>
      </c>
      <c r="V3" s="51">
        <v>1.0699999999999999E-2</v>
      </c>
      <c r="W3" s="51">
        <v>9.1000000000000004E-3</v>
      </c>
      <c r="X3" s="51">
        <v>0.24</v>
      </c>
      <c r="Y3" s="51" t="s">
        <v>65</v>
      </c>
      <c r="Z3" s="51" t="s">
        <v>163</v>
      </c>
    </row>
    <row r="4" spans="1:26" x14ac:dyDescent="0.25">
      <c r="A4" s="51" t="s">
        <v>208</v>
      </c>
      <c r="B4" s="81">
        <v>45818</v>
      </c>
      <c r="C4" s="51" t="s">
        <v>52</v>
      </c>
      <c r="D4" s="51" t="s">
        <v>15</v>
      </c>
      <c r="E4" s="51">
        <v>480</v>
      </c>
      <c r="F4" s="51" t="s">
        <v>39</v>
      </c>
      <c r="H4" s="51" t="s">
        <v>71</v>
      </c>
      <c r="I4" s="51">
        <v>12</v>
      </c>
      <c r="K4" s="60">
        <v>45818.92732638889</v>
      </c>
      <c r="L4" s="51">
        <v>35.659999999999997</v>
      </c>
      <c r="M4" s="51">
        <v>34.53</v>
      </c>
      <c r="N4" s="51">
        <v>35.619999999999997</v>
      </c>
      <c r="O4" s="51">
        <v>34.770000000000003</v>
      </c>
      <c r="P4" s="51">
        <v>36.6</v>
      </c>
      <c r="Q4" s="51">
        <v>35.31</v>
      </c>
      <c r="R4" s="51">
        <v>35.9</v>
      </c>
      <c r="S4" s="51">
        <v>32.39</v>
      </c>
      <c r="T4" s="51">
        <v>9.4999999999999998E-3</v>
      </c>
      <c r="U4" s="51">
        <v>9.2999999999999992E-3</v>
      </c>
      <c r="V4" s="51">
        <v>9.1000000000000004E-3</v>
      </c>
      <c r="W4" s="51">
        <v>1.06E-2</v>
      </c>
      <c r="X4" s="51">
        <v>0.26</v>
      </c>
      <c r="Y4" s="51" t="s">
        <v>65</v>
      </c>
      <c r="Z4" s="51" t="s">
        <v>205</v>
      </c>
    </row>
    <row r="5" spans="1:26" x14ac:dyDescent="0.25">
      <c r="A5" s="51" t="s">
        <v>210</v>
      </c>
      <c r="B5" s="81">
        <v>45818</v>
      </c>
      <c r="C5" s="51" t="s">
        <v>51</v>
      </c>
      <c r="D5" s="51" t="s">
        <v>15</v>
      </c>
      <c r="E5" s="51">
        <v>480</v>
      </c>
      <c r="F5" s="51" t="s">
        <v>39</v>
      </c>
      <c r="H5" s="51" t="s">
        <v>71</v>
      </c>
      <c r="I5" s="51">
        <v>12</v>
      </c>
      <c r="K5" s="60">
        <v>45818.92769675926</v>
      </c>
      <c r="L5" s="51">
        <v>35.17</v>
      </c>
      <c r="M5" s="51">
        <v>35.200000000000003</v>
      </c>
      <c r="N5" s="51">
        <v>36.229999999999997</v>
      </c>
      <c r="O5" s="51">
        <v>35.479999999999997</v>
      </c>
      <c r="P5" s="51">
        <v>33.81</v>
      </c>
      <c r="Q5" s="51">
        <v>35.200000000000003</v>
      </c>
      <c r="R5" s="51">
        <v>33.74</v>
      </c>
      <c r="S5" s="51">
        <v>36.65</v>
      </c>
      <c r="T5" s="51">
        <v>8.9999999999999993E-3</v>
      </c>
      <c r="U5" s="51">
        <v>1.12E-2</v>
      </c>
      <c r="V5" s="51">
        <v>1.14E-2</v>
      </c>
      <c r="W5" s="51">
        <v>1.11E-2</v>
      </c>
      <c r="X5" s="51">
        <v>0.23</v>
      </c>
      <c r="Y5" s="51" t="s">
        <v>65</v>
      </c>
    </row>
    <row r="6" spans="1:26" x14ac:dyDescent="0.25">
      <c r="A6" s="51" t="s">
        <v>219</v>
      </c>
      <c r="B6" s="81">
        <v>45818</v>
      </c>
      <c r="C6" s="51" t="s">
        <v>51</v>
      </c>
      <c r="D6" s="51" t="s">
        <v>55</v>
      </c>
      <c r="E6" s="51">
        <v>480</v>
      </c>
      <c r="F6" s="51" t="s">
        <v>71</v>
      </c>
      <c r="G6" s="51">
        <v>2</v>
      </c>
      <c r="H6" s="51" t="s">
        <v>39</v>
      </c>
      <c r="K6" s="60">
        <v>45818.934363425928</v>
      </c>
      <c r="L6" s="51">
        <v>36.22</v>
      </c>
      <c r="M6" s="51">
        <v>34.79</v>
      </c>
      <c r="N6" s="51">
        <v>37.5</v>
      </c>
      <c r="O6" s="51">
        <v>36.07</v>
      </c>
      <c r="P6" s="51">
        <v>35.08</v>
      </c>
      <c r="Q6" s="51">
        <v>34.58</v>
      </c>
      <c r="R6" s="51">
        <v>35.01</v>
      </c>
      <c r="S6" s="51">
        <v>34.78</v>
      </c>
      <c r="T6" s="51">
        <v>0.01</v>
      </c>
      <c r="U6" s="51">
        <v>1.0200000000000001E-2</v>
      </c>
      <c r="V6" s="51">
        <v>9.7999999999999997E-3</v>
      </c>
      <c r="W6" s="51">
        <v>9.1999999999999998E-3</v>
      </c>
      <c r="X6" s="51">
        <v>0.23</v>
      </c>
      <c r="Y6" s="51" t="s">
        <v>65</v>
      </c>
      <c r="Z6" s="51" t="s">
        <v>127</v>
      </c>
    </row>
    <row r="37" spans="39:53" x14ac:dyDescent="0.25">
      <c r="AU37" s="51">
        <v>0</v>
      </c>
    </row>
    <row r="41" spans="39:53" x14ac:dyDescent="0.25">
      <c r="AM41" s="82"/>
      <c r="AO41" s="82"/>
      <c r="AQ41" s="82"/>
      <c r="AW41" s="82"/>
      <c r="AY41" s="82"/>
      <c r="BA41" s="82"/>
    </row>
    <row r="46" spans="39:53" x14ac:dyDescent="0.25">
      <c r="AM46" s="82"/>
      <c r="AO46" s="82"/>
      <c r="AQ46" s="82"/>
      <c r="AW46" s="82"/>
      <c r="AY46" s="82"/>
      <c r="BA46" s="82"/>
    </row>
    <row r="51" spans="39:53" x14ac:dyDescent="0.25">
      <c r="AM51" s="82"/>
      <c r="AO51" s="82"/>
      <c r="AQ51" s="82"/>
      <c r="AW51" s="82"/>
      <c r="AY51" s="82"/>
      <c r="BA51" s="82"/>
    </row>
    <row r="56" spans="39:53" x14ac:dyDescent="0.25">
      <c r="AM56" s="82"/>
      <c r="AO56" s="82"/>
      <c r="AQ56" s="82"/>
      <c r="AW56" s="82"/>
      <c r="AY56" s="82"/>
      <c r="BA56" s="82"/>
    </row>
    <row r="61" spans="39:53" x14ac:dyDescent="0.25">
      <c r="AM61" s="82"/>
      <c r="AO61" s="82"/>
      <c r="AQ61" s="82"/>
      <c r="AW61" s="82"/>
      <c r="AY61" s="82"/>
      <c r="BA61" s="82"/>
    </row>
    <row r="66" spans="39:53" x14ac:dyDescent="0.25">
      <c r="AM66" s="82"/>
      <c r="AO66" s="82"/>
      <c r="AQ66" s="82"/>
      <c r="AW66" s="82"/>
      <c r="AY66" s="82"/>
      <c r="BA66" s="82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20"/>
  <sheetViews>
    <sheetView workbookViewId="0">
      <selection activeCell="A9" sqref="A4:XFD9"/>
    </sheetView>
  </sheetViews>
  <sheetFormatPr baseColWidth="10" defaultColWidth="14.7109375" defaultRowHeight="15" x14ac:dyDescent="0.25"/>
  <cols>
    <col min="1" max="1" width="7.7109375" style="51" bestFit="1" customWidth="1"/>
    <col min="2" max="2" width="5" style="51" bestFit="1" customWidth="1"/>
    <col min="3" max="3" width="8.140625" style="51" bestFit="1" customWidth="1"/>
    <col min="4" max="4" width="28.42578125" style="51" bestFit="1" customWidth="1"/>
    <col min="5" max="5" width="15.85546875" style="51" bestFit="1" customWidth="1"/>
    <col min="6" max="6" width="10.28515625" style="51" bestFit="1" customWidth="1"/>
    <col min="7" max="7" width="10.42578125" style="51" bestFit="1" customWidth="1"/>
    <col min="8" max="8" width="6" style="51" bestFit="1" customWidth="1"/>
    <col min="9" max="9" width="9.140625" style="51" bestFit="1" customWidth="1"/>
    <col min="10" max="10" width="10" style="51" bestFit="1" customWidth="1"/>
    <col min="11" max="11" width="15.5703125" style="51" bestFit="1" customWidth="1"/>
    <col min="12" max="12" width="21.7109375" style="51" bestFit="1" customWidth="1"/>
    <col min="13" max="14" width="5.42578125" style="51" bestFit="1" customWidth="1"/>
    <col min="15" max="16" width="12.28515625" style="51" bestFit="1" customWidth="1"/>
    <col min="17" max="17" width="9.5703125" style="51" bestFit="1" customWidth="1"/>
    <col min="18" max="18" width="16.85546875" style="51" bestFit="1" customWidth="1"/>
    <col min="19" max="19" width="18.28515625" style="51" bestFit="1" customWidth="1"/>
    <col min="20" max="21" width="55.5703125" style="51" bestFit="1" customWidth="1"/>
    <col min="22" max="25" width="56.5703125" style="51" bestFit="1" customWidth="1"/>
    <col min="26" max="26" width="9.85546875" style="51" customWidth="1"/>
    <col min="27" max="28" width="8.85546875" style="51" bestFit="1" customWidth="1"/>
    <col min="29" max="16384" width="14.7109375" style="51"/>
  </cols>
  <sheetData>
    <row r="1" spans="1:28" s="62" customFormat="1" x14ac:dyDescent="0.25">
      <c r="A1" s="62" t="s">
        <v>91</v>
      </c>
      <c r="B1" s="62" t="s">
        <v>92</v>
      </c>
      <c r="C1" s="62" t="s">
        <v>93</v>
      </c>
      <c r="D1" s="62" t="s">
        <v>14</v>
      </c>
      <c r="E1" s="62" t="s">
        <v>94</v>
      </c>
      <c r="F1" s="62" t="s">
        <v>95</v>
      </c>
      <c r="G1" s="62" t="s">
        <v>96</v>
      </c>
      <c r="H1" s="62" t="s">
        <v>97</v>
      </c>
      <c r="I1" s="62" t="s">
        <v>34</v>
      </c>
      <c r="J1" s="62" t="s">
        <v>98</v>
      </c>
      <c r="K1" s="62" t="s">
        <v>99</v>
      </c>
      <c r="L1" s="62" t="s">
        <v>100</v>
      </c>
      <c r="M1" s="62" t="s">
        <v>101</v>
      </c>
      <c r="N1" s="62" t="s">
        <v>102</v>
      </c>
      <c r="O1" s="62" t="s">
        <v>103</v>
      </c>
      <c r="P1" s="62" t="s">
        <v>104</v>
      </c>
      <c r="Q1" s="62" t="s">
        <v>6</v>
      </c>
      <c r="R1" s="62" t="s">
        <v>105</v>
      </c>
      <c r="S1" s="62" t="s">
        <v>106</v>
      </c>
      <c r="T1" s="62" t="s">
        <v>107</v>
      </c>
      <c r="U1" s="62" t="s">
        <v>108</v>
      </c>
      <c r="V1" s="62" t="s">
        <v>109</v>
      </c>
      <c r="W1" s="62" t="s">
        <v>110</v>
      </c>
      <c r="X1" s="62" t="s">
        <v>111</v>
      </c>
      <c r="Y1" s="62" t="s">
        <v>112</v>
      </c>
      <c r="Z1" s="62" t="s">
        <v>113</v>
      </c>
      <c r="AA1" s="62" t="s">
        <v>114</v>
      </c>
      <c r="AB1" s="62" t="s">
        <v>115</v>
      </c>
    </row>
    <row r="2" spans="1:28" x14ac:dyDescent="0.25">
      <c r="A2" s="51" t="s">
        <v>127</v>
      </c>
      <c r="B2" s="51">
        <v>4321</v>
      </c>
      <c r="C2" s="51">
        <v>1</v>
      </c>
      <c r="D2" s="51" t="s">
        <v>210</v>
      </c>
      <c r="E2" s="51" t="s">
        <v>63</v>
      </c>
      <c r="F2" s="51">
        <v>909</v>
      </c>
      <c r="G2" s="51">
        <v>3525</v>
      </c>
      <c r="H2" s="51">
        <v>2616</v>
      </c>
      <c r="I2" s="51">
        <v>32</v>
      </c>
      <c r="J2" s="51">
        <v>81.75</v>
      </c>
      <c r="K2" s="60">
        <v>45818.93236111111</v>
      </c>
      <c r="M2" s="51">
        <v>36.22</v>
      </c>
      <c r="N2" s="51">
        <v>34.79</v>
      </c>
      <c r="O2" s="51">
        <v>0.01</v>
      </c>
      <c r="P2" s="51">
        <v>9.1999999999999998E-3</v>
      </c>
      <c r="Q2" s="51">
        <v>0.23</v>
      </c>
      <c r="R2" s="51">
        <v>5.8816666666666668</v>
      </c>
      <c r="S2" s="51">
        <v>5.6438888888888892</v>
      </c>
      <c r="T2" s="51" t="s">
        <v>213</v>
      </c>
      <c r="U2" s="51" t="s">
        <v>214</v>
      </c>
      <c r="V2" s="51" t="s">
        <v>215</v>
      </c>
      <c r="W2" s="51" t="s">
        <v>216</v>
      </c>
      <c r="X2" s="51" t="s">
        <v>217</v>
      </c>
      <c r="Y2" s="51" t="s">
        <v>218</v>
      </c>
    </row>
    <row r="3" spans="1:28" x14ac:dyDescent="0.25">
      <c r="A3" s="51" t="s">
        <v>128</v>
      </c>
      <c r="B3" s="51">
        <v>4321</v>
      </c>
      <c r="C3" s="51">
        <v>2</v>
      </c>
      <c r="D3" s="51" t="s">
        <v>210</v>
      </c>
      <c r="E3" s="51" t="s">
        <v>63</v>
      </c>
      <c r="F3" s="51">
        <v>907</v>
      </c>
      <c r="G3" s="51">
        <v>3479</v>
      </c>
      <c r="H3" s="51">
        <v>2572</v>
      </c>
      <c r="I3" s="51">
        <v>32</v>
      </c>
      <c r="J3" s="51">
        <v>80.375</v>
      </c>
      <c r="K3" s="60">
        <v>45818.932581018518</v>
      </c>
      <c r="R3" s="51">
        <v>6.1533333333333324</v>
      </c>
      <c r="S3" s="51">
        <v>6.2133333333333338</v>
      </c>
      <c r="T3" s="51" t="s">
        <v>118</v>
      </c>
      <c r="U3" s="51" t="s">
        <v>119</v>
      </c>
      <c r="V3" s="51" t="s">
        <v>120</v>
      </c>
      <c r="W3" s="51" t="s">
        <v>121</v>
      </c>
      <c r="X3" s="51" t="s">
        <v>122</v>
      </c>
      <c r="Y3" s="51" t="s">
        <v>123</v>
      </c>
    </row>
    <row r="4" spans="1:28" x14ac:dyDescent="0.25">
      <c r="K4" s="60"/>
    </row>
    <row r="5" spans="1:28" x14ac:dyDescent="0.25">
      <c r="K5" s="60"/>
    </row>
    <row r="6" spans="1:28" x14ac:dyDescent="0.25">
      <c r="K6" s="60"/>
    </row>
    <row r="7" spans="1:28" x14ac:dyDescent="0.25">
      <c r="K7" s="60"/>
    </row>
    <row r="8" spans="1:28" x14ac:dyDescent="0.25">
      <c r="K8" s="60"/>
    </row>
    <row r="9" spans="1:28" x14ac:dyDescent="0.25">
      <c r="K9" s="60"/>
    </row>
    <row r="10" spans="1:28" x14ac:dyDescent="0.25">
      <c r="K10" s="60"/>
    </row>
    <row r="11" spans="1:28" x14ac:dyDescent="0.25">
      <c r="K11" s="60"/>
    </row>
    <row r="12" spans="1:28" x14ac:dyDescent="0.25">
      <c r="K12" s="60"/>
    </row>
    <row r="13" spans="1:28" x14ac:dyDescent="0.25">
      <c r="K13" s="60"/>
    </row>
    <row r="14" spans="1:28" x14ac:dyDescent="0.25">
      <c r="K14" s="60"/>
    </row>
    <row r="15" spans="1:28" x14ac:dyDescent="0.25">
      <c r="K15" s="60"/>
    </row>
    <row r="16" spans="1:28" x14ac:dyDescent="0.25">
      <c r="K16" s="60"/>
    </row>
    <row r="17" spans="11:11" x14ac:dyDescent="0.25">
      <c r="K17" s="60"/>
    </row>
    <row r="18" spans="11:11" x14ac:dyDescent="0.25">
      <c r="K18" s="60"/>
    </row>
    <row r="19" spans="11:11" x14ac:dyDescent="0.25">
      <c r="K19" s="60"/>
    </row>
    <row r="20" spans="11:11" x14ac:dyDescent="0.25">
      <c r="K20" s="60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35"/>
  <sheetViews>
    <sheetView workbookViewId="0">
      <selection activeCell="A31" sqref="A31:Q31"/>
    </sheetView>
  </sheetViews>
  <sheetFormatPr baseColWidth="10" defaultRowHeight="15" x14ac:dyDescent="0.25"/>
  <cols>
    <col min="1" max="1" width="14.42578125" bestFit="1" customWidth="1"/>
    <col min="18" max="18" width="15.42578125" bestFit="1" customWidth="1"/>
  </cols>
  <sheetData>
    <row r="1" spans="1:18" x14ac:dyDescent="0.25">
      <c r="A1" t="s">
        <v>89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</row>
    <row r="2" spans="1:18" x14ac:dyDescent="0.25">
      <c r="A2" t="s">
        <v>116</v>
      </c>
      <c r="B2" t="s">
        <v>117</v>
      </c>
      <c r="C2">
        <v>0</v>
      </c>
      <c r="D2">
        <v>0</v>
      </c>
      <c r="P2" t="s">
        <v>65</v>
      </c>
      <c r="Q2" t="s">
        <v>124</v>
      </c>
      <c r="R2" s="53">
        <v>45816.897662037038</v>
      </c>
    </row>
    <row r="3" spans="1:18" x14ac:dyDescent="0.25">
      <c r="A3" t="s">
        <v>116</v>
      </c>
      <c r="B3" t="s">
        <v>117</v>
      </c>
      <c r="C3">
        <v>0</v>
      </c>
      <c r="D3">
        <v>0</v>
      </c>
      <c r="P3" t="s">
        <v>65</v>
      </c>
      <c r="Q3" t="s">
        <v>125</v>
      </c>
      <c r="R3" s="53">
        <v>45816.897905092592</v>
      </c>
    </row>
    <row r="4" spans="1:18" x14ac:dyDescent="0.25">
      <c r="A4" t="s">
        <v>127</v>
      </c>
      <c r="B4" t="s">
        <v>126</v>
      </c>
      <c r="C4">
        <v>32</v>
      </c>
      <c r="D4">
        <v>28.33</v>
      </c>
      <c r="E4">
        <v>32</v>
      </c>
      <c r="F4">
        <v>32</v>
      </c>
      <c r="G4">
        <v>32</v>
      </c>
      <c r="H4">
        <v>21</v>
      </c>
      <c r="I4">
        <v>32</v>
      </c>
      <c r="J4">
        <v>32</v>
      </c>
      <c r="K4">
        <v>1.01E-2</v>
      </c>
      <c r="L4">
        <v>1.12E-2</v>
      </c>
      <c r="M4">
        <v>1.12E-2</v>
      </c>
      <c r="N4">
        <v>1.01E-2</v>
      </c>
      <c r="O4">
        <v>0.32</v>
      </c>
      <c r="P4" t="s">
        <v>65</v>
      </c>
      <c r="Q4" t="s">
        <v>128</v>
      </c>
      <c r="R4" s="53">
        <v>45817.520324074074</v>
      </c>
    </row>
    <row r="5" spans="1:18" x14ac:dyDescent="0.25">
      <c r="A5" t="s">
        <v>128</v>
      </c>
      <c r="B5" t="s">
        <v>129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0.01</v>
      </c>
      <c r="L5">
        <v>0.01</v>
      </c>
      <c r="M5">
        <v>0.01</v>
      </c>
      <c r="N5">
        <v>0.01</v>
      </c>
      <c r="O5">
        <v>0.32</v>
      </c>
      <c r="P5" t="s">
        <v>65</v>
      </c>
      <c r="Q5" t="s">
        <v>154</v>
      </c>
      <c r="R5" s="53">
        <v>45817.526435185187</v>
      </c>
    </row>
    <row r="6" spans="1:18" x14ac:dyDescent="0.25">
      <c r="A6" t="s">
        <v>128</v>
      </c>
      <c r="B6" t="s">
        <v>129</v>
      </c>
      <c r="C6">
        <v>32</v>
      </c>
      <c r="D6">
        <v>32</v>
      </c>
      <c r="E6">
        <v>32</v>
      </c>
      <c r="F6">
        <v>32</v>
      </c>
      <c r="G6">
        <v>32</v>
      </c>
      <c r="H6">
        <v>32</v>
      </c>
      <c r="I6">
        <v>32</v>
      </c>
      <c r="J6">
        <v>32</v>
      </c>
      <c r="K6">
        <v>0.01</v>
      </c>
      <c r="L6">
        <v>0.01</v>
      </c>
      <c r="M6">
        <v>0.01</v>
      </c>
      <c r="N6">
        <v>0.01</v>
      </c>
      <c r="O6">
        <v>0.32</v>
      </c>
      <c r="P6" t="s">
        <v>65</v>
      </c>
      <c r="Q6" t="s">
        <v>155</v>
      </c>
      <c r="R6" s="53">
        <v>45817.527002314811</v>
      </c>
    </row>
    <row r="7" spans="1:18" x14ac:dyDescent="0.25">
      <c r="A7" t="s">
        <v>155</v>
      </c>
      <c r="B7" t="s">
        <v>156</v>
      </c>
      <c r="C7">
        <v>0</v>
      </c>
      <c r="D7">
        <v>0</v>
      </c>
      <c r="Q7" t="s">
        <v>157</v>
      </c>
      <c r="R7" s="53">
        <v>45817.540763888886</v>
      </c>
    </row>
    <row r="8" spans="1:18" x14ac:dyDescent="0.25">
      <c r="A8" t="s">
        <v>155</v>
      </c>
      <c r="B8" t="s">
        <v>156</v>
      </c>
      <c r="C8">
        <v>0</v>
      </c>
      <c r="D8">
        <v>0</v>
      </c>
      <c r="Q8" t="s">
        <v>158</v>
      </c>
      <c r="R8" s="53">
        <v>45817.543229166666</v>
      </c>
    </row>
    <row r="9" spans="1:18" x14ac:dyDescent="0.25">
      <c r="A9" t="s">
        <v>158</v>
      </c>
      <c r="B9" t="s">
        <v>156</v>
      </c>
      <c r="C9">
        <v>34.71</v>
      </c>
      <c r="D9">
        <v>33.549999999999997</v>
      </c>
      <c r="E9">
        <v>34.340000000000003</v>
      </c>
      <c r="F9">
        <v>34.94</v>
      </c>
      <c r="G9">
        <v>34.85</v>
      </c>
      <c r="H9">
        <v>34.19</v>
      </c>
      <c r="I9">
        <v>32.93</v>
      </c>
      <c r="J9">
        <v>33.54</v>
      </c>
      <c r="K9">
        <v>1.0800000000000001E-2</v>
      </c>
      <c r="L9">
        <v>1.06E-2</v>
      </c>
      <c r="M9">
        <v>9.4999999999999998E-3</v>
      </c>
      <c r="N9">
        <v>1.17E-2</v>
      </c>
      <c r="O9">
        <v>0.25</v>
      </c>
      <c r="P9" t="s">
        <v>65</v>
      </c>
      <c r="Q9" t="s">
        <v>159</v>
      </c>
      <c r="R9" s="53">
        <v>45817.547939814816</v>
      </c>
    </row>
    <row r="10" spans="1:18" x14ac:dyDescent="0.25">
      <c r="A10" t="s">
        <v>159</v>
      </c>
      <c r="B10" t="s">
        <v>156</v>
      </c>
      <c r="C10">
        <v>36.119999999999997</v>
      </c>
      <c r="D10">
        <v>35.409999999999997</v>
      </c>
      <c r="E10">
        <v>35.76</v>
      </c>
      <c r="F10">
        <v>36.97</v>
      </c>
      <c r="G10">
        <v>35.64</v>
      </c>
      <c r="H10">
        <v>37.78</v>
      </c>
      <c r="I10">
        <v>35.32</v>
      </c>
      <c r="J10">
        <v>33.14</v>
      </c>
      <c r="K10">
        <v>1.1599999999999999E-2</v>
      </c>
      <c r="L10">
        <v>9.9000000000000008E-3</v>
      </c>
      <c r="M10">
        <v>1.0699999999999999E-2</v>
      </c>
      <c r="N10">
        <v>1.0699999999999999E-2</v>
      </c>
      <c r="O10">
        <v>0.26</v>
      </c>
      <c r="P10" t="s">
        <v>65</v>
      </c>
      <c r="Q10" t="s">
        <v>160</v>
      </c>
      <c r="R10" s="53">
        <v>45817.554918981485</v>
      </c>
    </row>
    <row r="11" spans="1:18" x14ac:dyDescent="0.25">
      <c r="A11" t="s">
        <v>160</v>
      </c>
      <c r="B11" t="s">
        <v>156</v>
      </c>
      <c r="C11">
        <v>35.78</v>
      </c>
      <c r="D11">
        <v>36.07</v>
      </c>
      <c r="E11">
        <v>35</v>
      </c>
      <c r="F11">
        <v>35.43</v>
      </c>
      <c r="G11">
        <v>36.92</v>
      </c>
      <c r="H11">
        <v>37.31</v>
      </c>
      <c r="I11">
        <v>34.53</v>
      </c>
      <c r="J11">
        <v>36.36</v>
      </c>
      <c r="K11">
        <v>1.1599999999999999E-2</v>
      </c>
      <c r="L11">
        <v>9.4000000000000004E-3</v>
      </c>
      <c r="M11">
        <v>1.12E-2</v>
      </c>
      <c r="N11">
        <v>1.09E-2</v>
      </c>
      <c r="O11">
        <v>0.26</v>
      </c>
      <c r="P11" t="s">
        <v>65</v>
      </c>
      <c r="Q11" t="s">
        <v>161</v>
      </c>
      <c r="R11" s="53">
        <v>45817.556886574072</v>
      </c>
    </row>
    <row r="12" spans="1:18" x14ac:dyDescent="0.25">
      <c r="A12" t="s">
        <v>160</v>
      </c>
      <c r="B12" t="s">
        <v>156</v>
      </c>
      <c r="C12">
        <v>35.78</v>
      </c>
      <c r="D12">
        <v>36.07</v>
      </c>
      <c r="E12">
        <v>35</v>
      </c>
      <c r="F12">
        <v>35.43</v>
      </c>
      <c r="G12">
        <v>36.92</v>
      </c>
      <c r="H12">
        <v>37.31</v>
      </c>
      <c r="I12">
        <v>34.53</v>
      </c>
      <c r="J12">
        <v>36.36</v>
      </c>
      <c r="K12">
        <v>1.1599999999999999E-2</v>
      </c>
      <c r="L12">
        <v>9.4000000000000004E-3</v>
      </c>
      <c r="M12">
        <v>1.12E-2</v>
      </c>
      <c r="N12">
        <v>1.09E-2</v>
      </c>
      <c r="O12">
        <v>0.26</v>
      </c>
      <c r="P12" t="s">
        <v>65</v>
      </c>
      <c r="Q12" t="s">
        <v>162</v>
      </c>
      <c r="R12" s="53">
        <v>45817.557083333333</v>
      </c>
    </row>
    <row r="13" spans="1:18" x14ac:dyDescent="0.25">
      <c r="A13" t="s">
        <v>162</v>
      </c>
      <c r="B13" t="s">
        <v>129</v>
      </c>
      <c r="C13">
        <v>36.33</v>
      </c>
      <c r="D13">
        <v>36.22</v>
      </c>
      <c r="E13">
        <v>34.479999999999997</v>
      </c>
      <c r="F13">
        <v>36.74</v>
      </c>
      <c r="G13">
        <v>37.770000000000003</v>
      </c>
      <c r="H13">
        <v>37.18</v>
      </c>
      <c r="I13">
        <v>34.24</v>
      </c>
      <c r="J13">
        <v>37.229999999999997</v>
      </c>
      <c r="K13">
        <v>9.1999999999999998E-3</v>
      </c>
      <c r="L13">
        <v>1.18E-2</v>
      </c>
      <c r="M13">
        <v>1.01E-2</v>
      </c>
      <c r="N13">
        <v>1.0500000000000001E-2</v>
      </c>
      <c r="O13">
        <v>0.26</v>
      </c>
      <c r="P13" t="s">
        <v>65</v>
      </c>
      <c r="Q13" t="s">
        <v>163</v>
      </c>
      <c r="R13" s="53">
        <v>45817.564351851855</v>
      </c>
    </row>
    <row r="14" spans="1:18" x14ac:dyDescent="0.25">
      <c r="A14" t="s">
        <v>163</v>
      </c>
      <c r="B14" t="s">
        <v>183</v>
      </c>
      <c r="C14">
        <v>35.89</v>
      </c>
      <c r="D14">
        <v>33.130000000000003</v>
      </c>
      <c r="E14">
        <v>37.11</v>
      </c>
      <c r="F14">
        <v>36.770000000000003</v>
      </c>
      <c r="G14">
        <v>33.799999999999997</v>
      </c>
      <c r="H14">
        <v>33.909999999999997</v>
      </c>
      <c r="I14">
        <v>33.049999999999997</v>
      </c>
      <c r="J14">
        <v>32.44</v>
      </c>
      <c r="K14">
        <v>1.04E-2</v>
      </c>
      <c r="L14">
        <v>1.03E-2</v>
      </c>
      <c r="M14">
        <v>1.0699999999999999E-2</v>
      </c>
      <c r="N14">
        <v>9.1000000000000004E-3</v>
      </c>
      <c r="O14">
        <v>0.24</v>
      </c>
      <c r="P14" t="s">
        <v>65</v>
      </c>
      <c r="Q14" t="s">
        <v>184</v>
      </c>
      <c r="R14" s="53">
        <v>45817.650694444441</v>
      </c>
    </row>
    <row r="15" spans="1:18" x14ac:dyDescent="0.25">
      <c r="A15" t="s">
        <v>163</v>
      </c>
      <c r="B15" t="s">
        <v>183</v>
      </c>
      <c r="C15">
        <v>35.89</v>
      </c>
      <c r="D15">
        <v>33.130000000000003</v>
      </c>
      <c r="E15">
        <v>37.11</v>
      </c>
      <c r="F15">
        <v>36.770000000000003</v>
      </c>
      <c r="G15">
        <v>33.799999999999997</v>
      </c>
      <c r="H15">
        <v>33.909999999999997</v>
      </c>
      <c r="I15">
        <v>33.049999999999997</v>
      </c>
      <c r="J15">
        <v>32.44</v>
      </c>
      <c r="K15">
        <v>1.04E-2</v>
      </c>
      <c r="L15">
        <v>1.03E-2</v>
      </c>
      <c r="M15">
        <v>1.0699999999999999E-2</v>
      </c>
      <c r="N15">
        <v>9.1000000000000004E-3</v>
      </c>
      <c r="O15">
        <v>0.24</v>
      </c>
      <c r="P15" t="s">
        <v>65</v>
      </c>
      <c r="Q15" t="s">
        <v>185</v>
      </c>
      <c r="R15" s="53">
        <v>45817.650937500002</v>
      </c>
    </row>
    <row r="16" spans="1:18" x14ac:dyDescent="0.25">
      <c r="A16" t="s">
        <v>163</v>
      </c>
      <c r="B16" t="s">
        <v>183</v>
      </c>
      <c r="C16">
        <v>35.89</v>
      </c>
      <c r="D16">
        <v>33.130000000000003</v>
      </c>
      <c r="E16">
        <v>37.11</v>
      </c>
      <c r="F16">
        <v>36.770000000000003</v>
      </c>
      <c r="G16">
        <v>33.799999999999997</v>
      </c>
      <c r="H16">
        <v>33.909999999999997</v>
      </c>
      <c r="I16">
        <v>33.049999999999997</v>
      </c>
      <c r="J16">
        <v>32.44</v>
      </c>
      <c r="K16">
        <v>1.04E-2</v>
      </c>
      <c r="L16">
        <v>1.03E-2</v>
      </c>
      <c r="M16">
        <v>1.0699999999999999E-2</v>
      </c>
      <c r="N16">
        <v>9.1000000000000004E-3</v>
      </c>
      <c r="O16">
        <v>0.24</v>
      </c>
      <c r="P16" t="s">
        <v>65</v>
      </c>
      <c r="Q16" t="s">
        <v>186</v>
      </c>
      <c r="R16" s="53">
        <v>45817.651180555556</v>
      </c>
    </row>
    <row r="17" spans="1:18" x14ac:dyDescent="0.25">
      <c r="A17" t="s">
        <v>163</v>
      </c>
      <c r="B17" t="s">
        <v>183</v>
      </c>
      <c r="C17">
        <v>35.89</v>
      </c>
      <c r="D17">
        <v>33.130000000000003</v>
      </c>
      <c r="E17">
        <v>37.11</v>
      </c>
      <c r="F17">
        <v>36.770000000000003</v>
      </c>
      <c r="G17">
        <v>33.799999999999997</v>
      </c>
      <c r="H17">
        <v>33.909999999999997</v>
      </c>
      <c r="I17">
        <v>33.049999999999997</v>
      </c>
      <c r="J17">
        <v>32.44</v>
      </c>
      <c r="K17">
        <v>1.04E-2</v>
      </c>
      <c r="L17">
        <v>1.03E-2</v>
      </c>
      <c r="M17">
        <v>1.0699999999999999E-2</v>
      </c>
      <c r="N17">
        <v>9.1000000000000004E-3</v>
      </c>
      <c r="O17">
        <v>0.24</v>
      </c>
      <c r="P17" t="s">
        <v>65</v>
      </c>
      <c r="Q17" t="s">
        <v>187</v>
      </c>
      <c r="R17" s="53">
        <v>45817.651747685188</v>
      </c>
    </row>
    <row r="18" spans="1:18" x14ac:dyDescent="0.25">
      <c r="A18" t="s">
        <v>187</v>
      </c>
      <c r="B18" t="s">
        <v>183</v>
      </c>
      <c r="C18">
        <v>35.1</v>
      </c>
      <c r="D18">
        <v>35.659999999999997</v>
      </c>
      <c r="E18">
        <v>37.630000000000003</v>
      </c>
      <c r="F18">
        <v>35.04</v>
      </c>
      <c r="G18">
        <v>32.64</v>
      </c>
      <c r="H18">
        <v>35.93</v>
      </c>
      <c r="I18">
        <v>34.340000000000003</v>
      </c>
      <c r="J18">
        <v>36.700000000000003</v>
      </c>
      <c r="K18">
        <v>1.03E-2</v>
      </c>
      <c r="L18">
        <v>1.12E-2</v>
      </c>
      <c r="M18">
        <v>1.0699999999999999E-2</v>
      </c>
      <c r="N18">
        <v>1.14E-2</v>
      </c>
      <c r="O18">
        <v>0.22</v>
      </c>
      <c r="P18" t="s">
        <v>65</v>
      </c>
      <c r="Q18" t="s">
        <v>196</v>
      </c>
      <c r="R18" s="53">
        <v>45818.881180555552</v>
      </c>
    </row>
    <row r="19" spans="1:18" x14ac:dyDescent="0.25">
      <c r="A19" t="s">
        <v>187</v>
      </c>
      <c r="B19" t="s">
        <v>183</v>
      </c>
      <c r="C19">
        <v>35.1</v>
      </c>
      <c r="D19">
        <v>35.659999999999997</v>
      </c>
      <c r="E19">
        <v>37.630000000000003</v>
      </c>
      <c r="F19">
        <v>35.04</v>
      </c>
      <c r="G19">
        <v>32.64</v>
      </c>
      <c r="H19">
        <v>35.93</v>
      </c>
      <c r="I19">
        <v>34.340000000000003</v>
      </c>
      <c r="J19">
        <v>36.700000000000003</v>
      </c>
      <c r="K19">
        <v>1.03E-2</v>
      </c>
      <c r="L19">
        <v>1.12E-2</v>
      </c>
      <c r="M19">
        <v>1.0699999999999999E-2</v>
      </c>
      <c r="N19">
        <v>1.14E-2</v>
      </c>
      <c r="O19">
        <v>0.22</v>
      </c>
      <c r="P19" t="s">
        <v>65</v>
      </c>
      <c r="Q19" t="s">
        <v>198</v>
      </c>
      <c r="R19" s="53">
        <v>45818.887129629627</v>
      </c>
    </row>
    <row r="20" spans="1:18" x14ac:dyDescent="0.25">
      <c r="A20" t="s">
        <v>198</v>
      </c>
      <c r="B20" t="s">
        <v>183</v>
      </c>
      <c r="C20">
        <v>35.1</v>
      </c>
      <c r="D20">
        <v>35.659999999999997</v>
      </c>
      <c r="E20">
        <v>37.630000000000003</v>
      </c>
      <c r="F20">
        <v>35.04</v>
      </c>
      <c r="G20">
        <v>32.64</v>
      </c>
      <c r="H20">
        <v>35.93</v>
      </c>
      <c r="I20">
        <v>34.340000000000003</v>
      </c>
      <c r="J20">
        <v>36.700000000000003</v>
      </c>
      <c r="K20">
        <v>1.03E-2</v>
      </c>
      <c r="L20">
        <v>1.12E-2</v>
      </c>
      <c r="M20">
        <v>1.0699999999999999E-2</v>
      </c>
      <c r="N20">
        <v>1.14E-2</v>
      </c>
      <c r="O20">
        <v>0.3</v>
      </c>
      <c r="P20" t="s">
        <v>65</v>
      </c>
      <c r="Q20" t="s">
        <v>199</v>
      </c>
      <c r="R20" s="53">
        <v>45818.887430555558</v>
      </c>
    </row>
    <row r="21" spans="1:18" x14ac:dyDescent="0.25">
      <c r="A21" t="s">
        <v>199</v>
      </c>
      <c r="B21" t="s">
        <v>203</v>
      </c>
      <c r="C21">
        <v>34.869999999999997</v>
      </c>
      <c r="D21">
        <v>33.58</v>
      </c>
      <c r="E21">
        <v>34.020000000000003</v>
      </c>
      <c r="F21">
        <v>33.28</v>
      </c>
      <c r="G21">
        <v>37.32</v>
      </c>
      <c r="H21">
        <v>36.21</v>
      </c>
      <c r="I21">
        <v>32.26</v>
      </c>
      <c r="J21">
        <v>32.26</v>
      </c>
      <c r="K21">
        <v>1.03E-2</v>
      </c>
      <c r="L21">
        <v>1.11E-2</v>
      </c>
      <c r="M21">
        <v>1.12E-2</v>
      </c>
      <c r="N21">
        <v>1.14E-2</v>
      </c>
      <c r="O21">
        <v>0.23</v>
      </c>
      <c r="P21" t="s">
        <v>65</v>
      </c>
      <c r="Q21" t="s">
        <v>204</v>
      </c>
      <c r="R21" s="53">
        <v>45818.909722222219</v>
      </c>
    </row>
    <row r="22" spans="1:18" x14ac:dyDescent="0.25">
      <c r="A22" t="s">
        <v>204</v>
      </c>
      <c r="B22" t="s">
        <v>203</v>
      </c>
      <c r="C22">
        <v>34.14</v>
      </c>
      <c r="D22">
        <v>33.36</v>
      </c>
      <c r="E22">
        <v>32.5</v>
      </c>
      <c r="F22">
        <v>35.450000000000003</v>
      </c>
      <c r="G22">
        <v>34.47</v>
      </c>
      <c r="H22">
        <v>35</v>
      </c>
      <c r="I22">
        <v>32.36</v>
      </c>
      <c r="J22">
        <v>32.71</v>
      </c>
      <c r="K22">
        <v>9.4000000000000004E-3</v>
      </c>
      <c r="L22">
        <v>9.9000000000000008E-3</v>
      </c>
      <c r="M22">
        <v>1.1900000000000001E-2</v>
      </c>
      <c r="N22">
        <v>1.0800000000000001E-2</v>
      </c>
      <c r="O22">
        <v>0.24</v>
      </c>
      <c r="P22" t="s">
        <v>65</v>
      </c>
      <c r="Q22" t="s">
        <v>205</v>
      </c>
      <c r="R22" s="53">
        <v>45818.911840277775</v>
      </c>
    </row>
    <row r="23" spans="1:18" x14ac:dyDescent="0.25">
      <c r="A23" t="s">
        <v>206</v>
      </c>
      <c r="B23" t="s">
        <v>203</v>
      </c>
      <c r="C23">
        <v>35.659999999999997</v>
      </c>
      <c r="D23">
        <v>34.53</v>
      </c>
      <c r="E23">
        <v>35.619999999999997</v>
      </c>
      <c r="F23">
        <v>34.770000000000003</v>
      </c>
      <c r="G23">
        <v>36.6</v>
      </c>
      <c r="H23">
        <v>35.31</v>
      </c>
      <c r="I23">
        <v>35.9</v>
      </c>
      <c r="J23">
        <v>32.39</v>
      </c>
      <c r="K23">
        <v>9.4999999999999998E-3</v>
      </c>
      <c r="L23">
        <v>9.2999999999999992E-3</v>
      </c>
      <c r="M23">
        <v>9.1000000000000004E-3</v>
      </c>
      <c r="N23">
        <v>1.06E-2</v>
      </c>
      <c r="O23">
        <v>0.26</v>
      </c>
      <c r="P23" t="s">
        <v>65</v>
      </c>
      <c r="Q23" t="s">
        <v>205</v>
      </c>
      <c r="R23" s="53">
        <v>45818.912233796298</v>
      </c>
    </row>
    <row r="24" spans="1:18" x14ac:dyDescent="0.25">
      <c r="A24" t="s">
        <v>207</v>
      </c>
      <c r="B24" t="s">
        <v>208</v>
      </c>
      <c r="C24">
        <v>35.659999999999997</v>
      </c>
      <c r="D24">
        <v>34.53</v>
      </c>
      <c r="E24">
        <v>35.619999999999997</v>
      </c>
      <c r="F24">
        <v>34.770000000000003</v>
      </c>
      <c r="G24">
        <v>36.6</v>
      </c>
      <c r="H24">
        <v>35.31</v>
      </c>
      <c r="I24">
        <v>35.9</v>
      </c>
      <c r="J24">
        <v>32.39</v>
      </c>
      <c r="K24">
        <v>9.4999999999999998E-3</v>
      </c>
      <c r="L24">
        <v>9.2999999999999992E-3</v>
      </c>
      <c r="M24">
        <v>9.1000000000000004E-3</v>
      </c>
      <c r="N24">
        <v>1.06E-2</v>
      </c>
      <c r="O24">
        <v>0.26</v>
      </c>
      <c r="P24" t="s">
        <v>65</v>
      </c>
      <c r="Q24" t="s">
        <v>205</v>
      </c>
      <c r="R24" s="53">
        <v>45818.915578703702</v>
      </c>
    </row>
    <row r="25" spans="1:18" x14ac:dyDescent="0.25">
      <c r="A25" t="s">
        <v>205</v>
      </c>
      <c r="B25" t="s">
        <v>208</v>
      </c>
      <c r="C25">
        <v>35.659999999999997</v>
      </c>
      <c r="D25">
        <v>34.53</v>
      </c>
      <c r="E25">
        <v>35.619999999999997</v>
      </c>
      <c r="F25">
        <v>34.770000000000003</v>
      </c>
      <c r="G25">
        <v>36.6</v>
      </c>
      <c r="H25">
        <v>35.31</v>
      </c>
      <c r="I25">
        <v>35.9</v>
      </c>
      <c r="J25">
        <v>32.39</v>
      </c>
      <c r="K25">
        <v>9.4999999999999998E-3</v>
      </c>
      <c r="L25">
        <v>9.2999999999999992E-3</v>
      </c>
      <c r="M25">
        <v>9.1000000000000004E-3</v>
      </c>
      <c r="N25">
        <v>1.06E-2</v>
      </c>
      <c r="O25">
        <v>0.26</v>
      </c>
      <c r="P25" t="s">
        <v>65</v>
      </c>
      <c r="Q25" t="s">
        <v>209</v>
      </c>
      <c r="R25" s="53">
        <v>45818.916215277779</v>
      </c>
    </row>
    <row r="26" spans="1:18" x14ac:dyDescent="0.25">
      <c r="A26" t="s">
        <v>209</v>
      </c>
      <c r="B26" t="s">
        <v>210</v>
      </c>
      <c r="C26">
        <v>0</v>
      </c>
      <c r="D26">
        <v>0</v>
      </c>
      <c r="Q26" t="s">
        <v>211</v>
      </c>
      <c r="R26" s="53">
        <v>45818.928530092591</v>
      </c>
    </row>
    <row r="27" spans="1:18" x14ac:dyDescent="0.25">
      <c r="A27" t="s">
        <v>127</v>
      </c>
      <c r="B27" t="s">
        <v>210</v>
      </c>
      <c r="C27">
        <v>36.22</v>
      </c>
      <c r="D27">
        <v>34.79</v>
      </c>
      <c r="E27">
        <v>37.5</v>
      </c>
      <c r="F27">
        <v>36.07</v>
      </c>
      <c r="G27">
        <v>35.08</v>
      </c>
      <c r="H27">
        <v>34.58</v>
      </c>
      <c r="I27">
        <v>35.01</v>
      </c>
      <c r="J27">
        <v>34.78</v>
      </c>
      <c r="K27">
        <v>0.01</v>
      </c>
      <c r="L27">
        <v>1.0200000000000001E-2</v>
      </c>
      <c r="M27">
        <v>9.7999999999999997E-3</v>
      </c>
      <c r="N27">
        <v>9.1999999999999998E-3</v>
      </c>
      <c r="O27">
        <v>0.23</v>
      </c>
      <c r="P27" t="s">
        <v>65</v>
      </c>
      <c r="Q27" t="s">
        <v>128</v>
      </c>
      <c r="R27" s="53">
        <v>45818.932372685187</v>
      </c>
    </row>
    <row r="28" spans="1:18" x14ac:dyDescent="0.25">
      <c r="A28" t="s">
        <v>127</v>
      </c>
      <c r="B28" t="s">
        <v>210</v>
      </c>
      <c r="C28">
        <v>36.22</v>
      </c>
      <c r="D28">
        <v>34.79</v>
      </c>
      <c r="E28">
        <v>37.5</v>
      </c>
      <c r="F28">
        <v>36.07</v>
      </c>
      <c r="G28">
        <v>35.08</v>
      </c>
      <c r="H28">
        <v>34.58</v>
      </c>
      <c r="I28">
        <v>35.01</v>
      </c>
      <c r="J28">
        <v>34.78</v>
      </c>
      <c r="K28">
        <v>0.01</v>
      </c>
      <c r="L28">
        <v>1.0200000000000001E-2</v>
      </c>
      <c r="M28">
        <v>9.7999999999999997E-3</v>
      </c>
      <c r="N28">
        <v>9.1999999999999998E-3</v>
      </c>
      <c r="O28">
        <v>0.23</v>
      </c>
      <c r="P28" t="s">
        <v>65</v>
      </c>
      <c r="Q28" t="s">
        <v>154</v>
      </c>
      <c r="R28" s="53">
        <v>45818.932592592595</v>
      </c>
    </row>
    <row r="29" spans="1:18" x14ac:dyDescent="0.25">
      <c r="A29" t="s">
        <v>154</v>
      </c>
      <c r="B29" t="s">
        <v>219</v>
      </c>
      <c r="C29">
        <v>35.06</v>
      </c>
      <c r="D29">
        <v>34.5</v>
      </c>
      <c r="E29">
        <v>34.44</v>
      </c>
      <c r="F29">
        <v>33.659999999999997</v>
      </c>
      <c r="G29">
        <v>37.090000000000003</v>
      </c>
      <c r="H29">
        <v>32.64</v>
      </c>
      <c r="I29">
        <v>35.86</v>
      </c>
      <c r="J29">
        <v>34.99</v>
      </c>
      <c r="K29">
        <v>9.4999999999999998E-3</v>
      </c>
      <c r="L29">
        <v>1.1599999999999999E-2</v>
      </c>
      <c r="M29">
        <v>1.01E-2</v>
      </c>
      <c r="N29">
        <v>9.9000000000000008E-3</v>
      </c>
      <c r="O29">
        <v>0.26</v>
      </c>
      <c r="P29" t="s">
        <v>65</v>
      </c>
      <c r="Q29" t="s">
        <v>155</v>
      </c>
      <c r="R29" s="53">
        <v>45818.934687499997</v>
      </c>
    </row>
    <row r="30" spans="1:18" x14ac:dyDescent="0.25">
      <c r="A30" t="s">
        <v>154</v>
      </c>
      <c r="B30" t="s">
        <v>219</v>
      </c>
      <c r="C30">
        <v>35.06</v>
      </c>
      <c r="D30">
        <v>34.5</v>
      </c>
      <c r="E30">
        <v>34.44</v>
      </c>
      <c r="F30">
        <v>33.659999999999997</v>
      </c>
      <c r="G30">
        <v>37.090000000000003</v>
      </c>
      <c r="H30">
        <v>32.64</v>
      </c>
      <c r="I30">
        <v>35.86</v>
      </c>
      <c r="J30">
        <v>34.99</v>
      </c>
      <c r="K30">
        <v>9.4999999999999998E-3</v>
      </c>
      <c r="L30">
        <v>1.1599999999999999E-2</v>
      </c>
      <c r="M30">
        <v>1.01E-2</v>
      </c>
      <c r="N30">
        <v>9.9000000000000008E-3</v>
      </c>
      <c r="O30">
        <v>0.26</v>
      </c>
      <c r="P30" t="s">
        <v>65</v>
      </c>
      <c r="Q30" t="s">
        <v>157</v>
      </c>
      <c r="R30" s="53">
        <v>45818.935266203705</v>
      </c>
    </row>
    <row r="31" spans="1:18" x14ac:dyDescent="0.25">
      <c r="A31" t="s">
        <v>154</v>
      </c>
      <c r="B31" t="s">
        <v>221</v>
      </c>
      <c r="C31">
        <v>35.06</v>
      </c>
      <c r="D31">
        <v>34.5</v>
      </c>
      <c r="E31">
        <v>34.44</v>
      </c>
      <c r="F31">
        <v>33.659999999999997</v>
      </c>
      <c r="G31">
        <v>37.090000000000003</v>
      </c>
      <c r="H31">
        <v>32.64</v>
      </c>
      <c r="I31">
        <v>35.86</v>
      </c>
      <c r="J31">
        <v>34.99</v>
      </c>
      <c r="K31">
        <v>9.4999999999999998E-3</v>
      </c>
      <c r="L31">
        <v>1.1599999999999999E-2</v>
      </c>
      <c r="M31">
        <v>1.01E-2</v>
      </c>
      <c r="N31">
        <v>9.9000000000000008E-3</v>
      </c>
      <c r="O31">
        <v>0.26</v>
      </c>
      <c r="P31" t="s">
        <v>65</v>
      </c>
      <c r="Q31" t="s">
        <v>158</v>
      </c>
      <c r="R31" s="53">
        <v>45818.937175925923</v>
      </c>
    </row>
    <row r="32" spans="1:18" x14ac:dyDescent="0.25">
      <c r="A32" t="s">
        <v>154</v>
      </c>
      <c r="B32" t="s">
        <v>221</v>
      </c>
      <c r="C32">
        <v>35.06</v>
      </c>
      <c r="D32">
        <v>34.5</v>
      </c>
      <c r="E32">
        <v>34.44</v>
      </c>
      <c r="F32">
        <v>33.659999999999997</v>
      </c>
      <c r="G32">
        <v>37.090000000000003</v>
      </c>
      <c r="H32">
        <v>32.64</v>
      </c>
      <c r="I32">
        <v>35.86</v>
      </c>
      <c r="J32">
        <v>34.99</v>
      </c>
      <c r="K32">
        <v>9.4999999999999998E-3</v>
      </c>
      <c r="L32">
        <v>1.1599999999999999E-2</v>
      </c>
      <c r="M32">
        <v>1.01E-2</v>
      </c>
      <c r="N32">
        <v>9.9000000000000008E-3</v>
      </c>
      <c r="O32">
        <v>0.26</v>
      </c>
      <c r="P32" t="s">
        <v>65</v>
      </c>
      <c r="Q32" t="s">
        <v>159</v>
      </c>
      <c r="R32" s="53">
        <v>45818.948298611111</v>
      </c>
    </row>
    <row r="33" spans="1:18" x14ac:dyDescent="0.25">
      <c r="A33" t="s">
        <v>159</v>
      </c>
      <c r="B33" t="s">
        <v>221</v>
      </c>
      <c r="C33">
        <v>34.43</v>
      </c>
      <c r="D33">
        <v>35.020000000000003</v>
      </c>
      <c r="E33">
        <v>34.119999999999997</v>
      </c>
      <c r="F33">
        <v>35.56</v>
      </c>
      <c r="G33">
        <v>33.61</v>
      </c>
      <c r="H33">
        <v>33.409999999999997</v>
      </c>
      <c r="I33">
        <v>36.21</v>
      </c>
      <c r="J33">
        <v>35.450000000000003</v>
      </c>
      <c r="K33">
        <v>1.0699999999999999E-2</v>
      </c>
      <c r="L33">
        <v>1.1900000000000001E-2</v>
      </c>
      <c r="M33">
        <v>1.17E-2</v>
      </c>
      <c r="N33">
        <v>9.7000000000000003E-3</v>
      </c>
      <c r="O33">
        <v>0.26</v>
      </c>
      <c r="P33" t="s">
        <v>65</v>
      </c>
      <c r="Q33" t="s">
        <v>160</v>
      </c>
      <c r="R33" s="53">
        <v>45818.951319444444</v>
      </c>
    </row>
    <row r="34" spans="1:18" x14ac:dyDescent="0.25">
      <c r="A34" t="s">
        <v>159</v>
      </c>
      <c r="B34" t="s">
        <v>221</v>
      </c>
      <c r="C34">
        <v>34.43</v>
      </c>
      <c r="D34">
        <v>35.020000000000003</v>
      </c>
      <c r="E34">
        <v>34.119999999999997</v>
      </c>
      <c r="F34">
        <v>35.56</v>
      </c>
      <c r="G34">
        <v>33.61</v>
      </c>
      <c r="H34">
        <v>33.409999999999997</v>
      </c>
      <c r="I34">
        <v>36.21</v>
      </c>
      <c r="J34">
        <v>35.450000000000003</v>
      </c>
      <c r="K34">
        <v>1.0699999999999999E-2</v>
      </c>
      <c r="L34">
        <v>1.1900000000000001E-2</v>
      </c>
      <c r="M34">
        <v>1.17E-2</v>
      </c>
      <c r="N34">
        <v>9.7000000000000003E-3</v>
      </c>
      <c r="O34">
        <v>0.26</v>
      </c>
      <c r="P34" t="s">
        <v>65</v>
      </c>
      <c r="Q34" t="s">
        <v>161</v>
      </c>
      <c r="R34" s="53">
        <v>45818.951793981483</v>
      </c>
    </row>
    <row r="35" spans="1:18" x14ac:dyDescent="0.25">
      <c r="A35" t="s">
        <v>159</v>
      </c>
      <c r="B35" t="s">
        <v>221</v>
      </c>
      <c r="C35">
        <v>34.43</v>
      </c>
      <c r="D35">
        <v>35.020000000000003</v>
      </c>
      <c r="E35">
        <v>34.119999999999997</v>
      </c>
      <c r="F35">
        <v>35.56</v>
      </c>
      <c r="G35">
        <v>33.61</v>
      </c>
      <c r="H35">
        <v>33.409999999999997</v>
      </c>
      <c r="I35">
        <v>36.21</v>
      </c>
      <c r="J35">
        <v>35.450000000000003</v>
      </c>
      <c r="K35">
        <v>1.0699999999999999E-2</v>
      </c>
      <c r="L35">
        <v>1.1900000000000001E-2</v>
      </c>
      <c r="M35">
        <v>1.17E-2</v>
      </c>
      <c r="N35">
        <v>9.7000000000000003E-3</v>
      </c>
      <c r="O35">
        <v>0.26</v>
      </c>
      <c r="P35" t="s">
        <v>65</v>
      </c>
      <c r="Q35" t="s">
        <v>162</v>
      </c>
      <c r="R35" s="53">
        <v>45818.952638888892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2025-06-10T21:24:18Z</dcterms:modified>
</cp:coreProperties>
</file>